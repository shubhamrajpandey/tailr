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3"/>
    <sheet name="Read Me" sheetId="2" state="visible" r:id="rId4"/>
  </sheets>
  <definedNames>
    <definedName function="false" hidden="true" localSheetId="0" name="_xlnm._FilterDatabase" vbProcedure="false">Companies!$A$1:$O$112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<sst xmlns="http://schemas.openxmlformats.org/spreadsheetml/2006/main" count="663" uniqueCount="336">
  <si>
    <t xml:space="preserve">S.N.</t>
  </si>
  <si>
    <t xml:space="preserve">Company Name</t>
  </si>
  <si>
    <t xml:space="preserve">Sector</t>
  </si>
  <si>
    <t xml:space="preserve">Location (City)</t>
  </si>
  <si>
    <t xml:space="preserve">Domain</t>
  </si>
  <si>
    <t xml:space="preserve">Website URL</t>
  </si>
  <si>
    <t xml:space="preserve">Logo URL (auto favicon)</t>
  </si>
  <si>
    <t xml:space="preserve">LinkedIn Company Search</t>
  </si>
  <si>
    <t xml:space="preserve">LinkedIn HR Search</t>
  </si>
  <si>
    <t xml:space="preserve">Tech Stack</t>
  </si>
  <si>
    <t xml:space="preserve">HR Name</t>
  </si>
  <si>
    <t xml:space="preserve">HR Email</t>
  </si>
  <si>
    <t xml:space="preserve">HR Phone</t>
  </si>
  <si>
    <t xml:space="preserve">Company Description</t>
  </si>
  <si>
    <t xml:space="preserve">Data Status</t>
  </si>
  <si>
    <t xml:space="preserve">eSewa (F1Soft Group)</t>
  </si>
  <si>
    <t xml:space="preserve">Fintech</t>
  </si>
  <si>
    <t xml:space="preserve">Lalitpur</t>
  </si>
  <si>
    <t xml:space="preserve">esewa.com.np</t>
  </si>
  <si>
    <t xml:space="preserve">Nepal's first and largest digital wallet for payments, bill pay, and transfers, built by F1Soft Group.</t>
  </si>
  <si>
    <t xml:space="preserve">Basic info only - verify contacts</t>
  </si>
  <si>
    <t xml:space="preserve">F1Soft International</t>
  </si>
  <si>
    <t xml:space="preserve">f1soft.com</t>
  </si>
  <si>
    <t xml:space="preserve">Fintech and banking software company building mobile banking, internet banking, and payment solutions for banks.</t>
  </si>
  <si>
    <t xml:space="preserve">Khalti</t>
  </si>
  <si>
    <t xml:space="preserve">Kathmandu</t>
  </si>
  <si>
    <t xml:space="preserve">khalti.com</t>
  </si>
  <si>
    <t xml:space="preserve">Digital wallet and payment gateway for online payments, recharge, and bill payments.</t>
  </si>
  <si>
    <t xml:space="preserve">Fonepay</t>
  </si>
  <si>
    <t xml:space="preserve">fonepay.com</t>
  </si>
  <si>
    <t xml:space="preserve">QR-based interoperable payment network connecting banks, wallets, and merchants.</t>
  </si>
  <si>
    <t xml:space="preserve">IME Pay</t>
  </si>
  <si>
    <t xml:space="preserve">imepay.com.np</t>
  </si>
  <si>
    <t xml:space="preserve">Digital wallet from IME Group offering payments, remittance, and utility services.</t>
  </si>
  <si>
    <t xml:space="preserve">Prabhu Pay</t>
  </si>
  <si>
    <t xml:space="preserve">prabhupay.com</t>
  </si>
  <si>
    <t xml:space="preserve">Digital wallet and payment service from the Prabhu Group.</t>
  </si>
  <si>
    <t xml:space="preserve">Nepal Clearing House (connectIPS)</t>
  </si>
  <si>
    <t xml:space="preserve">nchl.com.np</t>
  </si>
  <si>
    <t xml:space="preserve">National payment infrastructure operator running connectIPS and NCHL-IPS interbank payments.</t>
  </si>
  <si>
    <t xml:space="preserve">Hamro Patro</t>
  </si>
  <si>
    <t xml:space="preserve">Product</t>
  </si>
  <si>
    <t xml:space="preserve">hamropatro.com</t>
  </si>
  <si>
    <t xml:space="preserve">Popular Nepali calendar, news, and utility mobile app with a large user base.</t>
  </si>
  <si>
    <t xml:space="preserve">Foodmandu</t>
  </si>
  <si>
    <t xml:space="preserve">Startup</t>
  </si>
  <si>
    <t xml:space="preserve">foodmandu.com</t>
  </si>
  <si>
    <t xml:space="preserve">Online food delivery platform connecting customers with restaurants.</t>
  </si>
  <si>
    <t xml:space="preserve">Pathao Nepal</t>
  </si>
  <si>
    <t xml:space="preserve">pathao.com</t>
  </si>
  <si>
    <t xml:space="preserve">Ride-sharing, food delivery, and logistics super-app operating in Nepal.</t>
  </si>
  <si>
    <t xml:space="preserve">Daraz Nepal</t>
  </si>
  <si>
    <t xml:space="preserve">E-commerce</t>
  </si>
  <si>
    <t xml:space="preserve">daraz.com.np</t>
  </si>
  <si>
    <t xml:space="preserve">Largest online marketplace in Nepal, part of the Alibaba Group.</t>
  </si>
  <si>
    <t xml:space="preserve">Sastodeal</t>
  </si>
  <si>
    <t xml:space="preserve">sastodeal.com</t>
  </si>
  <si>
    <t xml:space="preserve">Online shopping marketplace for electronics, fashion, and home goods.</t>
  </si>
  <si>
    <t xml:space="preserve">Muncha</t>
  </si>
  <si>
    <t xml:space="preserve">muncha.com</t>
  </si>
  <si>
    <t xml:space="preserve">Nepali online shopping and grocery delivery platform.</t>
  </si>
  <si>
    <t xml:space="preserve">Thulo.com</t>
  </si>
  <si>
    <t xml:space="preserve">thulo.com</t>
  </si>
  <si>
    <t xml:space="preserve">Nepali e-commerce marketplace.</t>
  </si>
  <si>
    <t xml:space="preserve">HamroBazar</t>
  </si>
  <si>
    <t xml:space="preserve">hamrobazar.com</t>
  </si>
  <si>
    <t xml:space="preserve">Nepal's leading online classifieds marketplace for buying and selling.</t>
  </si>
  <si>
    <t xml:space="preserve">Merojob</t>
  </si>
  <si>
    <t xml:space="preserve">merojob.com</t>
  </si>
  <si>
    <t xml:space="preserve">Leading Nepali job portal and recruitment platform.</t>
  </si>
  <si>
    <t xml:space="preserve">Kumari Job</t>
  </si>
  <si>
    <t xml:space="preserve">kumarijob.com</t>
  </si>
  <si>
    <t xml:space="preserve">Job portal connecting Nepali employers and job seekers.</t>
  </si>
  <si>
    <t xml:space="preserve">Jobsnepal</t>
  </si>
  <si>
    <t xml:space="preserve">jobsnepal.com</t>
  </si>
  <si>
    <t xml:space="preserve">Online job portal listing vacancies across Nepal.</t>
  </si>
  <si>
    <t xml:space="preserve">Sparrow SMS</t>
  </si>
  <si>
    <t xml:space="preserve">sparrowsms.com</t>
  </si>
  <si>
    <t xml:space="preserve">Bulk SMS and messaging platform for Nepali businesses.</t>
  </si>
  <si>
    <t xml:space="preserve">Leapfrog Technology</t>
  </si>
  <si>
    <t xml:space="preserve">Outsourcing</t>
  </si>
  <si>
    <t xml:space="preserve">lftechnology.com</t>
  </si>
  <si>
    <t xml:space="preserve">Software engineering and digital product company serving international clients.</t>
  </si>
  <si>
    <t xml:space="preserve">Fusemachines</t>
  </si>
  <si>
    <t xml:space="preserve">fusemachines.com</t>
  </si>
  <si>
    <t xml:space="preserve">AI-focused company offering AI talent, education, and engineering services.</t>
  </si>
  <si>
    <t xml:space="preserve">Deerwalk</t>
  </si>
  <si>
    <t xml:space="preserve">deerwalk.com</t>
  </si>
  <si>
    <t xml:space="preserve">Healthcare analytics and software development company.</t>
  </si>
  <si>
    <t xml:space="preserve">Verisk Nepal</t>
  </si>
  <si>
    <t xml:space="preserve">verisk.com</t>
  </si>
  <si>
    <t xml:space="preserve">Nepal development center of Verisk Analytics, working on data analytics software.</t>
  </si>
  <si>
    <t xml:space="preserve">Cotiviti Nepal</t>
  </si>
  <si>
    <t xml:space="preserve">cotiviti.com</t>
  </si>
  <si>
    <t xml:space="preserve">Nepal technology center of Cotiviti, delivering healthcare analytics solutions.</t>
  </si>
  <si>
    <t xml:space="preserve">Cedar Gate Technologies</t>
  </si>
  <si>
    <t xml:space="preserve">cedargate.com</t>
  </si>
  <si>
    <t xml:space="preserve">Healthcare analytics and value-based care technology company with a Nepal engineering team.</t>
  </si>
  <si>
    <t xml:space="preserve">Javra Software</t>
  </si>
  <si>
    <t xml:space="preserve">javra.com</t>
  </si>
  <si>
    <t xml:space="preserve">IT outsourcing company building custom software for European clients.</t>
  </si>
  <si>
    <t xml:space="preserve">EB Pearls</t>
  </si>
  <si>
    <t xml:space="preserve">ebpearls.com</t>
  </si>
  <si>
    <t xml:space="preserve">Web and mobile app development agency with Nepal and Australia presence.</t>
  </si>
  <si>
    <t xml:space="preserve">Vrit Technologies</t>
  </si>
  <si>
    <t xml:space="preserve">vrittechnologies.com</t>
  </si>
  <si>
    <t xml:space="preserve">Software development and digital agency for web, mobile, and cloud projects.</t>
  </si>
  <si>
    <t xml:space="preserve">CloudFactory</t>
  </si>
  <si>
    <t xml:space="preserve">cloudfactory.com</t>
  </si>
  <si>
    <t xml:space="preserve">Managed workforce for AI data labeling and processing, with a large Nepal operation.</t>
  </si>
  <si>
    <t xml:space="preserve">Proshore</t>
  </si>
  <si>
    <t xml:space="preserve">proshore.eu</t>
  </si>
  <si>
    <t xml:space="preserve">Agile software development partner for European companies.</t>
  </si>
  <si>
    <t xml:space="preserve">Braindigit IT Solution</t>
  </si>
  <si>
    <t xml:space="preserve">braindigit.com</t>
  </si>
  <si>
    <t xml:space="preserve">Custom software, mobile apps, and web solutions company.</t>
  </si>
  <si>
    <t xml:space="preserve">Young Innovations</t>
  </si>
  <si>
    <t xml:space="preserve">younginnovations.com.np</t>
  </si>
  <si>
    <t xml:space="preserve">Software and digital solutions company known for open data and web platforms.</t>
  </si>
  <si>
    <t xml:space="preserve">Yomari</t>
  </si>
  <si>
    <t xml:space="preserve">yomari.com</t>
  </si>
  <si>
    <t xml:space="preserve">Software company building e-governance and enterprise systems.</t>
  </si>
  <si>
    <t xml:space="preserve">Cloud Himalaya</t>
  </si>
  <si>
    <t xml:space="preserve">cloudhimalaya.com</t>
  </si>
  <si>
    <t xml:space="preserve">Cloud and DevOps services company.</t>
  </si>
  <si>
    <t xml:space="preserve">Genese Solution</t>
  </si>
  <si>
    <t xml:space="preserve">genesesolution.com</t>
  </si>
  <si>
    <t xml:space="preserve">AWS partner offering cloud migration and managed services.</t>
  </si>
  <si>
    <t xml:space="preserve">Insight Workshop</t>
  </si>
  <si>
    <t xml:space="preserve">insightworkshop.io</t>
  </si>
  <si>
    <t xml:space="preserve">Software development company for web and mobile products.</t>
  </si>
  <si>
    <t xml:space="preserve">Ekbana</t>
  </si>
  <si>
    <t xml:space="preserve">ekbana.com</t>
  </si>
  <si>
    <t xml:space="preserve">Software and web development company.</t>
  </si>
  <si>
    <t xml:space="preserve">Naamche</t>
  </si>
  <si>
    <t xml:space="preserve">naamche.com</t>
  </si>
  <si>
    <t xml:space="preserve">Software development company building web and mobile applications.</t>
  </si>
  <si>
    <t xml:space="preserve">Info Developers</t>
  </si>
  <si>
    <t xml:space="preserve">infodevelopers.com.np</t>
  </si>
  <si>
    <t xml:space="preserve">Nepali software company building banking and enterprise applications.</t>
  </si>
  <si>
    <t xml:space="preserve">Truemark Technology</t>
  </si>
  <si>
    <t xml:space="preserve">truemark.dev</t>
  </si>
  <si>
    <t xml:space="preserve">Software engineering company serving international clients.</t>
  </si>
  <si>
    <t xml:space="preserve">Mercantile Communications</t>
  </si>
  <si>
    <t xml:space="preserve">Other</t>
  </si>
  <si>
    <t xml:space="preserve">mercantile.com.np</t>
  </si>
  <si>
    <t xml:space="preserve">Large Nepali IT hardware, network, and solutions provider.</t>
  </si>
  <si>
    <t xml:space="preserve">Nepal Telecom (NTC)</t>
  </si>
  <si>
    <t xml:space="preserve">Telecom</t>
  </si>
  <si>
    <t xml:space="preserve">ntc.net.np</t>
  </si>
  <si>
    <t xml:space="preserve">State-owned national telecom operator with a large IT and network workforce.</t>
  </si>
  <si>
    <t xml:space="preserve">Ncell</t>
  </si>
  <si>
    <t xml:space="preserve">ncell.axiata.com</t>
  </si>
  <si>
    <t xml:space="preserve">Private mobile network operator in Nepal.</t>
  </si>
  <si>
    <t xml:space="preserve">Smart Telecom</t>
  </si>
  <si>
    <t xml:space="preserve">smartcell.com.np</t>
  </si>
  <si>
    <t xml:space="preserve">Mobile operator providing voice and data services.</t>
  </si>
  <si>
    <t xml:space="preserve">WorldLink Communications</t>
  </si>
  <si>
    <t xml:space="preserve">worldlink.com.np</t>
  </si>
  <si>
    <t xml:space="preserve">Major internet service provider in Nepal.</t>
  </si>
  <si>
    <t xml:space="preserve">Subisu</t>
  </si>
  <si>
    <t xml:space="preserve">subisu.net.np</t>
  </si>
  <si>
    <t xml:space="preserve">Internet and enterprise connectivity provider.</t>
  </si>
  <si>
    <t xml:space="preserve">Vianet Communications</t>
  </si>
  <si>
    <t xml:space="preserve">vianet.com.np</t>
  </si>
  <si>
    <t xml:space="preserve">Fiber internet service provider.</t>
  </si>
  <si>
    <t xml:space="preserve">Classic Tech</t>
  </si>
  <si>
    <t xml:space="preserve">classictech.com.np</t>
  </si>
  <si>
    <t xml:space="preserve">Internet service provider offering broadband and enterprise services.</t>
  </si>
  <si>
    <t xml:space="preserve">Dish Home</t>
  </si>
  <si>
    <t xml:space="preserve">dishhome.com.np</t>
  </si>
  <si>
    <t xml:space="preserve">DTH television and broadband provider.</t>
  </si>
  <si>
    <t xml:space="preserve">Nabil Bank</t>
  </si>
  <si>
    <t xml:space="preserve">Bank</t>
  </si>
  <si>
    <t xml:space="preserve">nabilbank.com</t>
  </si>
  <si>
    <t xml:space="preserve">Commercial bank with a large IT department.</t>
  </si>
  <si>
    <t xml:space="preserve">Nepal Investment Mega Bank</t>
  </si>
  <si>
    <t xml:space="preserve">nimb.com.np</t>
  </si>
  <si>
    <t xml:space="preserve">Commercial bank formed from the merger of NIBL and Mega Bank.</t>
  </si>
  <si>
    <t xml:space="preserve">Global IME Bank</t>
  </si>
  <si>
    <t xml:space="preserve">globalimebank.com</t>
  </si>
  <si>
    <t xml:space="preserve">Large commercial bank in Nepal.</t>
  </si>
  <si>
    <t xml:space="preserve">NIC Asia Bank</t>
  </si>
  <si>
    <t xml:space="preserve">nicasiabank.com</t>
  </si>
  <si>
    <t xml:space="preserve">Commercial bank with a growing digital banking team.</t>
  </si>
  <si>
    <t xml:space="preserve">Standard Chartered Bank Nepal</t>
  </si>
  <si>
    <t xml:space="preserve">sc.com/np</t>
  </si>
  <si>
    <t xml:space="preserve">Nepal branch of Standard Chartered.</t>
  </si>
  <si>
    <t xml:space="preserve">Himalayan Bank</t>
  </si>
  <si>
    <t xml:space="preserve">hbl.com.np</t>
  </si>
  <si>
    <t xml:space="preserve">Commercial bank with joint-venture origins.</t>
  </si>
  <si>
    <t xml:space="preserve">Everest Bank</t>
  </si>
  <si>
    <t xml:space="preserve">everestbankltd.com</t>
  </si>
  <si>
    <t xml:space="preserve">Commercial bank in Nepal.</t>
  </si>
  <si>
    <t xml:space="preserve">Prabhu Bank</t>
  </si>
  <si>
    <t xml:space="preserve">prabhubank.com</t>
  </si>
  <si>
    <t xml:space="preserve">Commercial bank part of the Prabhu Group.</t>
  </si>
  <si>
    <t xml:space="preserve">Machhapuchchhre Bank</t>
  </si>
  <si>
    <t xml:space="preserve">Pokhara</t>
  </si>
  <si>
    <t xml:space="preserve">machbank.com</t>
  </si>
  <si>
    <t xml:space="preserve">Commercial bank headquartered in Pokhara.</t>
  </si>
  <si>
    <t xml:space="preserve">Kumari Bank</t>
  </si>
  <si>
    <t xml:space="preserve">kumaribank.com</t>
  </si>
  <si>
    <t xml:space="preserve">Laxmi Sunrise Bank</t>
  </si>
  <si>
    <t xml:space="preserve">laxmisunrise.com</t>
  </si>
  <si>
    <t xml:space="preserve">Commercial bank formed by merger of Laxmi and Sunrise banks.</t>
  </si>
  <si>
    <t xml:space="preserve">Sanima Bank</t>
  </si>
  <si>
    <t xml:space="preserve">sanimabank.com</t>
  </si>
  <si>
    <t xml:space="preserve">Siddhartha Bank</t>
  </si>
  <si>
    <t xml:space="preserve">siddharthabank.com</t>
  </si>
  <si>
    <t xml:space="preserve">NMB Bank</t>
  </si>
  <si>
    <t xml:space="preserve">nmb.com.np</t>
  </si>
  <si>
    <t xml:space="preserve">Citizens Bank International</t>
  </si>
  <si>
    <t xml:space="preserve">ctznbank.com</t>
  </si>
  <si>
    <t xml:space="preserve">Prime Commercial Bank</t>
  </si>
  <si>
    <t xml:space="preserve">primebank.com.np</t>
  </si>
  <si>
    <t xml:space="preserve">Century Commercial Bank</t>
  </si>
  <si>
    <t xml:space="preserve">centurybank.com.np</t>
  </si>
  <si>
    <t xml:space="preserve">Nepal SBI Bank</t>
  </si>
  <si>
    <t xml:space="preserve">nsbl.com.np</t>
  </si>
  <si>
    <t xml:space="preserve">Joint-venture commercial bank with State Bank of India.</t>
  </si>
  <si>
    <t xml:space="preserve">Nepal Bank Limited</t>
  </si>
  <si>
    <t xml:space="preserve">nepalbank.com.np</t>
  </si>
  <si>
    <t xml:space="preserve">Oldest commercial bank in Nepal.</t>
  </si>
  <si>
    <t xml:space="preserve">Rastriya Banijya Bank</t>
  </si>
  <si>
    <t xml:space="preserve">rbb.com.np</t>
  </si>
  <si>
    <t xml:space="preserve">State-owned commercial bank.</t>
  </si>
  <si>
    <t xml:space="preserve">Agricultural Development Bank</t>
  </si>
  <si>
    <t xml:space="preserve">adbl.gov.np</t>
  </si>
  <si>
    <t xml:space="preserve">State-owned development and agricultural bank.</t>
  </si>
  <si>
    <t xml:space="preserve">Nepal Rastra Bank</t>
  </si>
  <si>
    <t xml:space="preserve">Government</t>
  </si>
  <si>
    <t xml:space="preserve">nrb.org.np</t>
  </si>
  <si>
    <t xml:space="preserve">Central bank of Nepal with an IT department.</t>
  </si>
  <si>
    <t xml:space="preserve">Nepal Stock Exchange (NEPSE)</t>
  </si>
  <si>
    <t xml:space="preserve">Finance</t>
  </si>
  <si>
    <t xml:space="preserve">nepalstock.com.np</t>
  </si>
  <si>
    <t xml:space="preserve">Nepal's stock exchange and trading platform operator.</t>
  </si>
  <si>
    <t xml:space="preserve">CDS and Clearing Limited</t>
  </si>
  <si>
    <t xml:space="preserve">cdsc.com.np</t>
  </si>
  <si>
    <t xml:space="preserve">Securities depository and clearing company running MeroShare.</t>
  </si>
  <si>
    <t xml:space="preserve">SEBON</t>
  </si>
  <si>
    <t xml:space="preserve">sebon.gov.np</t>
  </si>
  <si>
    <t xml:space="preserve">Securities regulator of Nepal.</t>
  </si>
  <si>
    <t xml:space="preserve">Nepal Life Insurance</t>
  </si>
  <si>
    <t xml:space="preserve">nepallife.com.np</t>
  </si>
  <si>
    <t xml:space="preserve">Life insurance company in Nepal.</t>
  </si>
  <si>
    <t xml:space="preserve">Life Insurance Corporation Nepal</t>
  </si>
  <si>
    <t xml:space="preserve">licnepal.com.np</t>
  </si>
  <si>
    <t xml:space="preserve">Department of Information Technology</t>
  </si>
  <si>
    <t xml:space="preserve">doit.gov.np</t>
  </si>
  <si>
    <t xml:space="preserve">Government body for IT policy and e-governance.</t>
  </si>
  <si>
    <t xml:space="preserve">National Information Technology Center</t>
  </si>
  <si>
    <t xml:space="preserve">nitc.gov.np</t>
  </si>
  <si>
    <t xml:space="preserve">Government IT center hosting national data and e-governance systems.</t>
  </si>
  <si>
    <t xml:space="preserve">Nepal Electricity Authority</t>
  </si>
  <si>
    <t xml:space="preserve">nea.org.np</t>
  </si>
  <si>
    <t xml:space="preserve">State electricity utility with IT and SCADA teams.</t>
  </si>
  <si>
    <t xml:space="preserve">Broadway Infosys</t>
  </si>
  <si>
    <t xml:space="preserve">Training</t>
  </si>
  <si>
    <t xml:space="preserve">broadwayinfosys.com</t>
  </si>
  <si>
    <t xml:space="preserve">IT training institute offering software courses.</t>
  </si>
  <si>
    <t xml:space="preserve">Softwarica College</t>
  </si>
  <si>
    <t xml:space="preserve">softwarica.edu.np</t>
  </si>
  <si>
    <t xml:space="preserve">IT college offering computing and cybersecurity programs.</t>
  </si>
  <si>
    <t xml:space="preserve">Islington College</t>
  </si>
  <si>
    <t xml:space="preserve">islington.edu.np</t>
  </si>
  <si>
    <t xml:space="preserve">College offering computing and IT degrees.</t>
  </si>
  <si>
    <t xml:space="preserve">Herald College Kathmandu</t>
  </si>
  <si>
    <t xml:space="preserve">heraldcollege.edu.np</t>
  </si>
  <si>
    <t xml:space="preserve">Deerwalk Institute of Technology</t>
  </si>
  <si>
    <t xml:space="preserve">deerwalk.edu.np</t>
  </si>
  <si>
    <t xml:space="preserve">Engineering college focused on computer science.</t>
  </si>
  <si>
    <t xml:space="preserve">IIMS College</t>
  </si>
  <si>
    <t xml:space="preserve">iimscollege.edu.np</t>
  </si>
  <si>
    <t xml:space="preserve">IT and management college.</t>
  </si>
  <si>
    <t xml:space="preserve">Kathmandu University</t>
  </si>
  <si>
    <t xml:space="preserve">Dhulikhel</t>
  </si>
  <si>
    <t xml:space="preserve">ku.edu.np</t>
  </si>
  <si>
    <t xml:space="preserve">University with a Department of Computer Science and Engineering.</t>
  </si>
  <si>
    <t xml:space="preserve">Synapse Technologies</t>
  </si>
  <si>
    <t xml:space="preserve">Custom software and AI integration company.</t>
  </si>
  <si>
    <t xml:space="preserve">Name from listing sites - find website</t>
  </si>
  <si>
    <t xml:space="preserve">Tech Nirvana</t>
  </si>
  <si>
    <t xml:space="preserve">Software company offering custom development, AI and IT staff augmentation.</t>
  </si>
  <si>
    <t xml:space="preserve">Featherwebs</t>
  </si>
  <si>
    <t xml:space="preserve">Web and custom software development company.</t>
  </si>
  <si>
    <t xml:space="preserve">Cloco Nepal</t>
  </si>
  <si>
    <t xml:space="preserve">Custom software, web and mobile app development company.</t>
  </si>
  <si>
    <t xml:space="preserve">Logicurv</t>
  </si>
  <si>
    <t xml:space="preserve">Design and development studio.</t>
  </si>
  <si>
    <t xml:space="preserve">Codeed</t>
  </si>
  <si>
    <t xml:space="preserve">Software and web hosting company founded in 2022.</t>
  </si>
  <si>
    <t xml:space="preserve">Nebulaleap Technology</t>
  </si>
  <si>
    <t xml:space="preserve">Software development company based in Kathmandu Valley.</t>
  </si>
  <si>
    <t xml:space="preserve">AITC International</t>
  </si>
  <si>
    <t xml:space="preserve">Bhaktapur</t>
  </si>
  <si>
    <t xml:space="preserve">Software development company established in 2021.</t>
  </si>
  <si>
    <t xml:space="preserve">Omega Incorporations</t>
  </si>
  <si>
    <t xml:space="preserve">Software development company.</t>
  </si>
  <si>
    <t xml:space="preserve">Nexalaris Tech</t>
  </si>
  <si>
    <t xml:space="preserve">Nepal (verify)</t>
  </si>
  <si>
    <t xml:space="preserve">AI-first company offering cloud, web, mobile and cybersecurity solutions.</t>
  </si>
  <si>
    <t xml:space="preserve">Artivtech</t>
  </si>
  <si>
    <t xml:space="preserve">Custom software and app development company.</t>
  </si>
  <si>
    <t xml:space="preserve">Web Experts Nepal</t>
  </si>
  <si>
    <t xml:space="preserve">Spiralogics</t>
  </si>
  <si>
    <t xml:space="preserve">Software development company listed on Clutch.</t>
  </si>
  <si>
    <t xml:space="preserve">Rara Labs</t>
  </si>
  <si>
    <t xml:space="preserve">Progressive Labs</t>
  </si>
  <si>
    <t xml:space="preserve">Development agency listed on Clutch.</t>
  </si>
  <si>
    <t xml:space="preserve">Susankya Global</t>
  </si>
  <si>
    <t xml:space="preserve">Makura Creations</t>
  </si>
  <si>
    <t xml:space="preserve">Software and creative company listed on Clutch.</t>
  </si>
  <si>
    <t xml:space="preserve">Milo Logic</t>
  </si>
  <si>
    <t xml:space="preserve">LIS Nepal</t>
  </si>
  <si>
    <t xml:space="preserve">Offshore development center of LIS Solutions (USA) for custom software and IT consulting.</t>
  </si>
  <si>
    <t xml:space="preserve">Searce Nepal (Searhold Technologies)</t>
  </si>
  <si>
    <t xml:space="preserve">Cloud and technology consulting company.</t>
  </si>
  <si>
    <t xml:space="preserve">Outcode Technologies</t>
  </si>
  <si>
    <t xml:space="preserve">AI-driven solutions, software development and UI/UX design.</t>
  </si>
  <si>
    <t xml:space="preserve">TechCraft</t>
  </si>
  <si>
    <t xml:space="preserve">Custom software development and IT consulting firm.</t>
  </si>
  <si>
    <t xml:space="preserve">Web House Nepal</t>
  </si>
  <si>
    <t xml:space="preserve">Websites, web apps, mobile apps, domain, hosting and digital marketing.</t>
  </si>
  <si>
    <t xml:space="preserve">Web Server Nepal</t>
  </si>
  <si>
    <t xml:space="preserve">Web hosting and domain provider.</t>
  </si>
  <si>
    <t xml:space="preserve">Antbytelabs</t>
  </si>
  <si>
    <t xml:space="preserve">Software company building products for founders, SMEs and enterprises.</t>
  </si>
  <si>
    <t xml:space="preserve">How to use this file</t>
  </si>
  <si>
    <t xml:space="preserve">Filled: company name, sector, city, website, short description.</t>
  </si>
  <si>
    <t xml:space="preserve">Auto-generated: Website URL, Logo URL (Google favicon of the domain), LinkedIn search links. These are formula links, not verified exact pages.</t>
  </si>
  <si>
    <t xml:space="preserve">Yellow columns (Tech Stack, HR Name, HR Email, HR Phone) are intentionally blank. I did not guess them. Fill from careers pages, job postings (Merojob, Kumari Job), or LinkedIn.</t>
  </si>
  <si>
    <t xml:space="preserve">Locations are city-level only. Add area/address after checking each website.</t>
  </si>
  <si>
    <t xml:space="preserve">This is ~110 known companies, not all of Nepal's IT companies. Nepal has hundreds more; extend by sector and ask for the next batch.</t>
  </si>
  <si>
    <t xml:space="preserve">Descriptions are written from general knowledge; spot-check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</si>
</sst>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9" min="7" style="0" width="34"/>
    <col collapsed="false" customWidth="true" hidden="false" outlineLevel="0" max="10" min="10" style="0" width="24"/>
    <col collapsed="false" customWidth="true" hidden="false" outlineLevel="0" max="11" min="11" style="0" width="18"/>
    <col collapsed="false" customWidth="true" hidden="false" outlineLevel="0" max="12" min="12" style="0" width="26"/>
    <col collapsed="false" customWidth="true" hidden="false" outlineLevel="0" max="13" min="13" style="0" width="16"/>
    <col collapsed="false" customWidth="true" hidden="false" outlineLevel="0" max="14" min="14" style="0" width="60"/>
    <col collapsed="false" customWidth="true" hidden="false" outlineLevel="0" max="15" min="15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customFormat="false" ht="23.85" hidden="false" customHeight="false" outlineLevel="0" collapsed="false">
      <c r="A2" s="3" t="n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tr">
        <f aca="false">IF(E2="","","https://"&amp;E2)</f>
        <v>https://esewa.com.np</v>
      </c>
      <c r="G2" s="3" t="str">
        <f aca="false">IF(E2="","","https://www.google.com/s2/favicons?domain="&amp;E2&amp;"&amp;sz=128")</f>
        <v>https://www.google.com/s2/favicons?domain=esewa.com.np&amp;sz=128</v>
      </c>
      <c r="H2" s="3" t="str">
        <f aca="false">"https://www.linkedin.com/search/results/companies/?keywords="&amp;SUBSTITUTE(B2," ","%20")</f>
        <v>https://www.linkedin.com/search/results/companies/?keywords=eSewa%20(F1Soft%20Group)</v>
      </c>
      <c r="I2" s="3" t="str">
        <f aca="false">"https://www.linkedin.com/search/results/people/?keywords=HR%20recruiter%20"&amp;SUBSTITUTE(B2," ","%20")</f>
        <v>https://www.linkedin.com/search/results/people/?keywords=HR%20recruiter%20eSewa%20(F1Soft%20Group)</v>
      </c>
      <c r="J2" s="4"/>
      <c r="K2" s="4"/>
      <c r="L2" s="4"/>
      <c r="M2" s="4"/>
      <c r="N2" s="5" t="s">
        <v>19</v>
      </c>
      <c r="O2" s="3" t="s">
        <v>20</v>
      </c>
    </row>
    <row r="3" customFormat="false" ht="23.85" hidden="false" customHeight="false" outlineLevel="0" collapsed="false">
      <c r="A3" s="3" t="n">
        <v>2</v>
      </c>
      <c r="B3" s="3" t="s">
        <v>21</v>
      </c>
      <c r="C3" s="3" t="s">
        <v>16</v>
      </c>
      <c r="D3" s="3" t="s">
        <v>17</v>
      </c>
      <c r="E3" s="3" t="s">
        <v>22</v>
      </c>
      <c r="F3" s="3" t="str">
        <f aca="false">IF(E3="","","https://"&amp;E3)</f>
        <v>https://f1soft.com</v>
      </c>
      <c r="G3" s="3" t="str">
        <f aca="false">IF(E3="","","https://www.google.com/s2/favicons?domain="&amp;E3&amp;"&amp;sz=128")</f>
        <v>https://www.google.com/s2/favicons?domain=f1soft.com&amp;sz=128</v>
      </c>
      <c r="H3" s="3" t="str">
        <f aca="false">"https://www.linkedin.com/search/results/companies/?keywords="&amp;SUBSTITUTE(B3," ","%20")</f>
        <v>https://www.linkedin.com/search/results/companies/?keywords=F1Soft%20International</v>
      </c>
      <c r="I3" s="3" t="str">
        <f aca="false">"https://www.linkedin.com/search/results/people/?keywords=HR%20recruiter%20"&amp;SUBSTITUTE(B3," ","%20")</f>
        <v>https://www.linkedin.com/search/results/people/?keywords=HR%20recruiter%20F1Soft%20International</v>
      </c>
      <c r="J3" s="4"/>
      <c r="K3" s="4"/>
      <c r="L3" s="4"/>
      <c r="M3" s="4"/>
      <c r="N3" s="5" t="s">
        <v>23</v>
      </c>
      <c r="O3" s="3" t="s">
        <v>20</v>
      </c>
    </row>
    <row r="4" customFormat="false" ht="23.85" hidden="false" customHeight="false" outlineLevel="0" collapsed="false">
      <c r="A4" s="3" t="n">
        <v>3</v>
      </c>
      <c r="B4" s="3" t="s">
        <v>24</v>
      </c>
      <c r="C4" s="3" t="s">
        <v>16</v>
      </c>
      <c r="D4" s="3" t="s">
        <v>25</v>
      </c>
      <c r="E4" s="3" t="s">
        <v>26</v>
      </c>
      <c r="F4" s="3" t="str">
        <f aca="false">IF(E4="","","https://"&amp;E4)</f>
        <v>https://khalti.com</v>
      </c>
      <c r="G4" s="3" t="str">
        <f aca="false">IF(E4="","","https://www.google.com/s2/favicons?domain="&amp;E4&amp;"&amp;sz=128")</f>
        <v>https://www.google.com/s2/favicons?domain=khalti.com&amp;sz=128</v>
      </c>
      <c r="H4" s="3" t="str">
        <f aca="false">"https://www.linkedin.com/search/results/companies/?keywords="&amp;SUBSTITUTE(B4," ","%20")</f>
        <v>https://www.linkedin.com/search/results/companies/?keywords=Khalti</v>
      </c>
      <c r="I4" s="3" t="str">
        <f aca="false">"https://www.linkedin.com/search/results/people/?keywords=HR%20recruiter%20"&amp;SUBSTITUTE(B4," ","%20")</f>
        <v>https://www.linkedin.com/search/results/people/?keywords=HR%20recruiter%20Khalti</v>
      </c>
      <c r="J4" s="4"/>
      <c r="K4" s="4"/>
      <c r="L4" s="4"/>
      <c r="M4" s="4"/>
      <c r="N4" s="5" t="s">
        <v>27</v>
      </c>
      <c r="O4" s="3" t="s">
        <v>20</v>
      </c>
    </row>
    <row r="5" customFormat="false" ht="23.85" hidden="false" customHeight="false" outlineLevel="0" collapsed="false">
      <c r="A5" s="3" t="n">
        <v>4</v>
      </c>
      <c r="B5" s="3" t="s">
        <v>28</v>
      </c>
      <c r="C5" s="3" t="s">
        <v>16</v>
      </c>
      <c r="D5" s="3" t="s">
        <v>25</v>
      </c>
      <c r="E5" s="3" t="s">
        <v>29</v>
      </c>
      <c r="F5" s="3" t="str">
        <f aca="false">IF(E5="","","https://"&amp;E5)</f>
        <v>https://fonepay.com</v>
      </c>
      <c r="G5" s="3" t="str">
        <f aca="false">IF(E5="","","https://www.google.com/s2/favicons?domain="&amp;E5&amp;"&amp;sz=128")</f>
        <v>https://www.google.com/s2/favicons?domain=fonepay.com&amp;sz=128</v>
      </c>
      <c r="H5" s="3" t="str">
        <f aca="false">"https://www.linkedin.com/search/results/companies/?keywords="&amp;SUBSTITUTE(B5," ","%20")</f>
        <v>https://www.linkedin.com/search/results/companies/?keywords=Fonepay</v>
      </c>
      <c r="I5" s="3" t="str">
        <f aca="false">"https://www.linkedin.com/search/results/people/?keywords=HR%20recruiter%20"&amp;SUBSTITUTE(B5," ","%20")</f>
        <v>https://www.linkedin.com/search/results/people/?keywords=HR%20recruiter%20Fonepay</v>
      </c>
      <c r="J5" s="4"/>
      <c r="K5" s="4"/>
      <c r="L5" s="4"/>
      <c r="M5" s="4"/>
      <c r="N5" s="5" t="s">
        <v>30</v>
      </c>
      <c r="O5" s="3" t="s">
        <v>20</v>
      </c>
    </row>
    <row r="6" customFormat="false" ht="23.85" hidden="false" customHeight="false" outlineLevel="0" collapsed="false">
      <c r="A6" s="3" t="n">
        <v>5</v>
      </c>
      <c r="B6" s="3" t="s">
        <v>31</v>
      </c>
      <c r="C6" s="3" t="s">
        <v>16</v>
      </c>
      <c r="D6" s="3" t="s">
        <v>25</v>
      </c>
      <c r="E6" s="3" t="s">
        <v>32</v>
      </c>
      <c r="F6" s="3" t="str">
        <f aca="false">IF(E6="","","https://"&amp;E6)</f>
        <v>https://imepay.com.np</v>
      </c>
      <c r="G6" s="3" t="str">
        <f aca="false">IF(E6="","","https://www.google.com/s2/favicons?domain="&amp;E6&amp;"&amp;sz=128")</f>
        <v>https://www.google.com/s2/favicons?domain=imepay.com.np&amp;sz=128</v>
      </c>
      <c r="H6" s="3" t="str">
        <f aca="false">"https://www.linkedin.com/search/results/companies/?keywords="&amp;SUBSTITUTE(B6," ","%20")</f>
        <v>https://www.linkedin.com/search/results/companies/?keywords=IME%20Pay</v>
      </c>
      <c r="I6" s="3" t="str">
        <f aca="false">"https://www.linkedin.com/search/results/people/?keywords=HR%20recruiter%20"&amp;SUBSTITUTE(B6," ","%20")</f>
        <v>https://www.linkedin.com/search/results/people/?keywords=HR%20recruiter%20IME%20Pay</v>
      </c>
      <c r="J6" s="4"/>
      <c r="K6" s="4"/>
      <c r="L6" s="4"/>
      <c r="M6" s="4"/>
      <c r="N6" s="5" t="s">
        <v>33</v>
      </c>
      <c r="O6" s="3" t="s">
        <v>20</v>
      </c>
    </row>
    <row r="7" customFormat="false" ht="15" hidden="false" customHeight="false" outlineLevel="0" collapsed="false">
      <c r="A7" s="3" t="n">
        <v>6</v>
      </c>
      <c r="B7" s="3" t="s">
        <v>34</v>
      </c>
      <c r="C7" s="3" t="s">
        <v>16</v>
      </c>
      <c r="D7" s="3" t="s">
        <v>25</v>
      </c>
      <c r="E7" s="3" t="s">
        <v>35</v>
      </c>
      <c r="F7" s="3" t="str">
        <f aca="false">IF(E7="","","https://"&amp;E7)</f>
        <v>https://prabhupay.com</v>
      </c>
      <c r="G7" s="3" t="str">
        <f aca="false">IF(E7="","","https://www.google.com/s2/favicons?domain="&amp;E7&amp;"&amp;sz=128")</f>
        <v>https://www.google.com/s2/favicons?domain=prabhupay.com&amp;sz=128</v>
      </c>
      <c r="H7" s="3" t="str">
        <f aca="false">"https://www.linkedin.com/search/results/companies/?keywords="&amp;SUBSTITUTE(B7," ","%20")</f>
        <v>https://www.linkedin.com/search/results/companies/?keywords=Prabhu%20Pay</v>
      </c>
      <c r="I7" s="3" t="str">
        <f aca="false">"https://www.linkedin.com/search/results/people/?keywords=HR%20recruiter%20"&amp;SUBSTITUTE(B7," ","%20")</f>
        <v>https://www.linkedin.com/search/results/people/?keywords=HR%20recruiter%20Prabhu%20Pay</v>
      </c>
      <c r="J7" s="4"/>
      <c r="K7" s="4"/>
      <c r="L7" s="4"/>
      <c r="M7" s="4"/>
      <c r="N7" s="5" t="s">
        <v>36</v>
      </c>
      <c r="O7" s="3" t="s">
        <v>20</v>
      </c>
    </row>
    <row r="8" customFormat="false" ht="23.85" hidden="false" customHeight="false" outlineLevel="0" collapsed="false">
      <c r="A8" s="3" t="n">
        <v>7</v>
      </c>
      <c r="B8" s="3" t="s">
        <v>37</v>
      </c>
      <c r="C8" s="3" t="s">
        <v>16</v>
      </c>
      <c r="D8" s="3" t="s">
        <v>25</v>
      </c>
      <c r="E8" s="3" t="s">
        <v>38</v>
      </c>
      <c r="F8" s="3" t="str">
        <f aca="false">IF(E8="","","https://"&amp;E8)</f>
        <v>https://nchl.com.np</v>
      </c>
      <c r="G8" s="3" t="str">
        <f aca="false">IF(E8="","","https://www.google.com/s2/favicons?domain="&amp;E8&amp;"&amp;sz=128")</f>
        <v>https://www.google.com/s2/favicons?domain=nchl.com.np&amp;sz=128</v>
      </c>
      <c r="H8" s="3" t="str">
        <f aca="false">"https://www.linkedin.com/search/results/companies/?keywords="&amp;SUBSTITUTE(B8," ","%20")</f>
        <v>https://www.linkedin.com/search/results/companies/?keywords=Nepal%20Clearing%20House%20(connectIPS)</v>
      </c>
      <c r="I8" s="3" t="str">
        <f aca="false">"https://www.linkedin.com/search/results/people/?keywords=HR%20recruiter%20"&amp;SUBSTITUTE(B8," ","%20")</f>
        <v>https://www.linkedin.com/search/results/people/?keywords=HR%20recruiter%20Nepal%20Clearing%20House%20(connectIPS)</v>
      </c>
      <c r="J8" s="4"/>
      <c r="K8" s="4"/>
      <c r="L8" s="4"/>
      <c r="M8" s="4"/>
      <c r="N8" s="5" t="s">
        <v>39</v>
      </c>
      <c r="O8" s="3" t="s">
        <v>20</v>
      </c>
    </row>
    <row r="9" customFormat="false" ht="23.85" hidden="false" customHeight="false" outlineLevel="0" collapsed="false">
      <c r="A9" s="3" t="n">
        <v>8</v>
      </c>
      <c r="B9" s="3" t="s">
        <v>40</v>
      </c>
      <c r="C9" s="3" t="s">
        <v>41</v>
      </c>
      <c r="D9" s="3" t="s">
        <v>25</v>
      </c>
      <c r="E9" s="3" t="s">
        <v>42</v>
      </c>
      <c r="F9" s="3" t="str">
        <f aca="false">IF(E9="","","https://"&amp;E9)</f>
        <v>https://hamropatro.com</v>
      </c>
      <c r="G9" s="3" t="str">
        <f aca="false">IF(E9="","","https://www.google.com/s2/favicons?domain="&amp;E9&amp;"&amp;sz=128")</f>
        <v>https://www.google.com/s2/favicons?domain=hamropatro.com&amp;sz=128</v>
      </c>
      <c r="H9" s="3" t="str">
        <f aca="false">"https://www.linkedin.com/search/results/companies/?keywords="&amp;SUBSTITUTE(B9," ","%20")</f>
        <v>https://www.linkedin.com/search/results/companies/?keywords=Hamro%20Patro</v>
      </c>
      <c r="I9" s="3" t="str">
        <f aca="false">"https://www.linkedin.com/search/results/people/?keywords=HR%20recruiter%20"&amp;SUBSTITUTE(B9," ","%20")</f>
        <v>https://www.linkedin.com/search/results/people/?keywords=HR%20recruiter%20Hamro%20Patro</v>
      </c>
      <c r="J9" s="4"/>
      <c r="K9" s="4"/>
      <c r="L9" s="4"/>
      <c r="M9" s="4"/>
      <c r="N9" s="5" t="s">
        <v>43</v>
      </c>
      <c r="O9" s="3" t="s">
        <v>20</v>
      </c>
    </row>
    <row r="10" customFormat="false" ht="15" hidden="false" customHeight="false" outlineLevel="0" collapsed="false">
      <c r="A10" s="3" t="n">
        <v>9</v>
      </c>
      <c r="B10" s="3" t="s">
        <v>44</v>
      </c>
      <c r="C10" s="3" t="s">
        <v>45</v>
      </c>
      <c r="D10" s="3" t="s">
        <v>25</v>
      </c>
      <c r="E10" s="3" t="s">
        <v>46</v>
      </c>
      <c r="F10" s="3" t="str">
        <f aca="false">IF(E10="","","https://"&amp;E10)</f>
        <v>https://foodmandu.com</v>
      </c>
      <c r="G10" s="3" t="str">
        <f aca="false">IF(E10="","","https://www.google.com/s2/favicons?domain="&amp;E10&amp;"&amp;sz=128")</f>
        <v>https://www.google.com/s2/favicons?domain=foodmandu.com&amp;sz=128</v>
      </c>
      <c r="H10" s="3" t="str">
        <f aca="false">"https://www.linkedin.com/search/results/companies/?keywords="&amp;SUBSTITUTE(B10," ","%20")</f>
        <v>https://www.linkedin.com/search/results/companies/?keywords=Foodmandu</v>
      </c>
      <c r="I10" s="3" t="str">
        <f aca="false">"https://www.linkedin.com/search/results/people/?keywords=HR%20recruiter%20"&amp;SUBSTITUTE(B10," ","%20")</f>
        <v>https://www.linkedin.com/search/results/people/?keywords=HR%20recruiter%20Foodmandu</v>
      </c>
      <c r="J10" s="4"/>
      <c r="K10" s="4"/>
      <c r="L10" s="4"/>
      <c r="M10" s="4"/>
      <c r="N10" s="5" t="s">
        <v>47</v>
      </c>
      <c r="O10" s="3" t="s">
        <v>20</v>
      </c>
    </row>
    <row r="11" customFormat="false" ht="15" hidden="false" customHeight="false" outlineLevel="0" collapsed="false">
      <c r="A11" s="3" t="n">
        <v>10</v>
      </c>
      <c r="B11" s="3" t="s">
        <v>48</v>
      </c>
      <c r="C11" s="3" t="s">
        <v>45</v>
      </c>
      <c r="D11" s="3" t="s">
        <v>25</v>
      </c>
      <c r="E11" s="3" t="s">
        <v>49</v>
      </c>
      <c r="F11" s="3" t="str">
        <f aca="false">IF(E11="","","https://"&amp;E11)</f>
        <v>https://pathao.com</v>
      </c>
      <c r="G11" s="3" t="str">
        <f aca="false">IF(E11="","","https://www.google.com/s2/favicons?domain="&amp;E11&amp;"&amp;sz=128")</f>
        <v>https://www.google.com/s2/favicons?domain=pathao.com&amp;sz=128</v>
      </c>
      <c r="H11" s="3" t="str">
        <f aca="false">"https://www.linkedin.com/search/results/companies/?keywords="&amp;SUBSTITUTE(B11," ","%20")</f>
        <v>https://www.linkedin.com/search/results/companies/?keywords=Pathao%20Nepal</v>
      </c>
      <c r="I11" s="3" t="str">
        <f aca="false">"https://www.linkedin.com/search/results/people/?keywords=HR%20recruiter%20"&amp;SUBSTITUTE(B11," ","%20")</f>
        <v>https://www.linkedin.com/search/results/people/?keywords=HR%20recruiter%20Pathao%20Nepal</v>
      </c>
      <c r="J11" s="4"/>
      <c r="K11" s="4"/>
      <c r="L11" s="4"/>
      <c r="M11" s="4"/>
      <c r="N11" s="5" t="s">
        <v>50</v>
      </c>
      <c r="O11" s="3" t="s">
        <v>20</v>
      </c>
    </row>
    <row r="12" customFormat="false" ht="15" hidden="false" customHeight="false" outlineLevel="0" collapsed="false">
      <c r="A12" s="3" t="n">
        <v>11</v>
      </c>
      <c r="B12" s="3" t="s">
        <v>51</v>
      </c>
      <c r="C12" s="3" t="s">
        <v>52</v>
      </c>
      <c r="D12" s="3" t="s">
        <v>25</v>
      </c>
      <c r="E12" s="3" t="s">
        <v>53</v>
      </c>
      <c r="F12" s="3" t="str">
        <f aca="false">IF(E12="","","https://"&amp;E12)</f>
        <v>https://daraz.com.np</v>
      </c>
      <c r="G12" s="3" t="str">
        <f aca="false">IF(E12="","","https://www.google.com/s2/favicons?domain="&amp;E12&amp;"&amp;sz=128")</f>
        <v>https://www.google.com/s2/favicons?domain=daraz.com.np&amp;sz=128</v>
      </c>
      <c r="H12" s="3" t="str">
        <f aca="false">"https://www.linkedin.com/search/results/companies/?keywords="&amp;SUBSTITUTE(B12," ","%20")</f>
        <v>https://www.linkedin.com/search/results/companies/?keywords=Daraz%20Nepal</v>
      </c>
      <c r="I12" s="3" t="str">
        <f aca="false">"https://www.linkedin.com/search/results/people/?keywords=HR%20recruiter%20"&amp;SUBSTITUTE(B12," ","%20")</f>
        <v>https://www.linkedin.com/search/results/people/?keywords=HR%20recruiter%20Daraz%20Nepal</v>
      </c>
      <c r="J12" s="4"/>
      <c r="K12" s="4"/>
      <c r="L12" s="4"/>
      <c r="M12" s="4"/>
      <c r="N12" s="5" t="s">
        <v>54</v>
      </c>
      <c r="O12" s="3" t="s">
        <v>20</v>
      </c>
    </row>
    <row r="13" customFormat="false" ht="15" hidden="false" customHeight="false" outlineLevel="0" collapsed="false">
      <c r="A13" s="3" t="n">
        <v>12</v>
      </c>
      <c r="B13" s="3" t="s">
        <v>55</v>
      </c>
      <c r="C13" s="3" t="s">
        <v>52</v>
      </c>
      <c r="D13" s="3" t="s">
        <v>25</v>
      </c>
      <c r="E13" s="3" t="s">
        <v>56</v>
      </c>
      <c r="F13" s="3" t="str">
        <f aca="false">IF(E13="","","https://"&amp;E13)</f>
        <v>https://sastodeal.com</v>
      </c>
      <c r="G13" s="3" t="str">
        <f aca="false">IF(E13="","","https://www.google.com/s2/favicons?domain="&amp;E13&amp;"&amp;sz=128")</f>
        <v>https://www.google.com/s2/favicons?domain=sastodeal.com&amp;sz=128</v>
      </c>
      <c r="H13" s="3" t="str">
        <f aca="false">"https://www.linkedin.com/search/results/companies/?keywords="&amp;SUBSTITUTE(B13," ","%20")</f>
        <v>https://www.linkedin.com/search/results/companies/?keywords=Sastodeal</v>
      </c>
      <c r="I13" s="3" t="str">
        <f aca="false">"https://www.linkedin.com/search/results/people/?keywords=HR%20recruiter%20"&amp;SUBSTITUTE(B13," ","%20")</f>
        <v>https://www.linkedin.com/search/results/people/?keywords=HR%20recruiter%20Sastodeal</v>
      </c>
      <c r="J13" s="4"/>
      <c r="K13" s="4"/>
      <c r="L13" s="4"/>
      <c r="M13" s="4"/>
      <c r="N13" s="5" t="s">
        <v>57</v>
      </c>
      <c r="O13" s="3" t="s">
        <v>20</v>
      </c>
    </row>
    <row r="14" customFormat="false" ht="15" hidden="false" customHeight="false" outlineLevel="0" collapsed="false">
      <c r="A14" s="3" t="n">
        <v>13</v>
      </c>
      <c r="B14" s="3" t="s">
        <v>58</v>
      </c>
      <c r="C14" s="3" t="s">
        <v>52</v>
      </c>
      <c r="D14" s="3" t="s">
        <v>25</v>
      </c>
      <c r="E14" s="3" t="s">
        <v>59</v>
      </c>
      <c r="F14" s="3" t="str">
        <f aca="false">IF(E14="","","https://"&amp;E14)</f>
        <v>https://muncha.com</v>
      </c>
      <c r="G14" s="3" t="str">
        <f aca="false">IF(E14="","","https://www.google.com/s2/favicons?domain="&amp;E14&amp;"&amp;sz=128")</f>
        <v>https://www.google.com/s2/favicons?domain=muncha.com&amp;sz=128</v>
      </c>
      <c r="H14" s="3" t="str">
        <f aca="false">"https://www.linkedin.com/search/results/companies/?keywords="&amp;SUBSTITUTE(B14," ","%20")</f>
        <v>https://www.linkedin.com/search/results/companies/?keywords=Muncha</v>
      </c>
      <c r="I14" s="3" t="str">
        <f aca="false">"https://www.linkedin.com/search/results/people/?keywords=HR%20recruiter%20"&amp;SUBSTITUTE(B14," ","%20")</f>
        <v>https://www.linkedin.com/search/results/people/?keywords=HR%20recruiter%20Muncha</v>
      </c>
      <c r="J14" s="4"/>
      <c r="K14" s="4"/>
      <c r="L14" s="4"/>
      <c r="M14" s="4"/>
      <c r="N14" s="5" t="s">
        <v>60</v>
      </c>
      <c r="O14" s="3" t="s">
        <v>20</v>
      </c>
    </row>
    <row r="15" customFormat="false" ht="15" hidden="false" customHeight="false" outlineLevel="0" collapsed="false">
      <c r="A15" s="3" t="n">
        <v>14</v>
      </c>
      <c r="B15" s="3" t="s">
        <v>61</v>
      </c>
      <c r="C15" s="3" t="s">
        <v>52</v>
      </c>
      <c r="D15" s="3" t="s">
        <v>25</v>
      </c>
      <c r="E15" s="3" t="s">
        <v>62</v>
      </c>
      <c r="F15" s="3" t="str">
        <f aca="false">IF(E15="","","https://"&amp;E15)</f>
        <v>https://thulo.com</v>
      </c>
      <c r="G15" s="3" t="str">
        <f aca="false">IF(E15="","","https://www.google.com/s2/favicons?domain="&amp;E15&amp;"&amp;sz=128")</f>
        <v>https://www.google.com/s2/favicons?domain=thulo.com&amp;sz=128</v>
      </c>
      <c r="H15" s="3" t="str">
        <f aca="false">"https://www.linkedin.com/search/results/companies/?keywords="&amp;SUBSTITUTE(B15," ","%20")</f>
        <v>https://www.linkedin.com/search/results/companies/?keywords=Thulo.com</v>
      </c>
      <c r="I15" s="3" t="str">
        <f aca="false">"https://www.linkedin.com/search/results/people/?keywords=HR%20recruiter%20"&amp;SUBSTITUTE(B15," ","%20")</f>
        <v>https://www.linkedin.com/search/results/people/?keywords=HR%20recruiter%20Thulo.com</v>
      </c>
      <c r="J15" s="4"/>
      <c r="K15" s="4"/>
      <c r="L15" s="4"/>
      <c r="M15" s="4"/>
      <c r="N15" s="5" t="s">
        <v>63</v>
      </c>
      <c r="O15" s="3" t="s">
        <v>20</v>
      </c>
    </row>
    <row r="16" customFormat="false" ht="15" hidden="false" customHeight="false" outlineLevel="0" collapsed="false">
      <c r="A16" s="3" t="n">
        <v>15</v>
      </c>
      <c r="B16" s="3" t="s">
        <v>64</v>
      </c>
      <c r="C16" s="3" t="s">
        <v>41</v>
      </c>
      <c r="D16" s="3" t="s">
        <v>25</v>
      </c>
      <c r="E16" s="3" t="s">
        <v>65</v>
      </c>
      <c r="F16" s="3" t="str">
        <f aca="false">IF(E16="","","https://"&amp;E16)</f>
        <v>https://hamrobazar.com</v>
      </c>
      <c r="G16" s="3" t="str">
        <f aca="false">IF(E16="","","https://www.google.com/s2/favicons?domain="&amp;E16&amp;"&amp;sz=128")</f>
        <v>https://www.google.com/s2/favicons?domain=hamrobazar.com&amp;sz=128</v>
      </c>
      <c r="H16" s="3" t="str">
        <f aca="false">"https://www.linkedin.com/search/results/companies/?keywords="&amp;SUBSTITUTE(B16," ","%20")</f>
        <v>https://www.linkedin.com/search/results/companies/?keywords=HamroBazar</v>
      </c>
      <c r="I16" s="3" t="str">
        <f aca="false">"https://www.linkedin.com/search/results/people/?keywords=HR%20recruiter%20"&amp;SUBSTITUTE(B16," ","%20")</f>
        <v>https://www.linkedin.com/search/results/people/?keywords=HR%20recruiter%20HamroBazar</v>
      </c>
      <c r="J16" s="4"/>
      <c r="K16" s="4"/>
      <c r="L16" s="4"/>
      <c r="M16" s="4"/>
      <c r="N16" s="5" t="s">
        <v>66</v>
      </c>
      <c r="O16" s="3" t="s">
        <v>20</v>
      </c>
    </row>
    <row r="17" customFormat="false" ht="15" hidden="false" customHeight="false" outlineLevel="0" collapsed="false">
      <c r="A17" s="3" t="n">
        <v>16</v>
      </c>
      <c r="B17" s="3" t="s">
        <v>67</v>
      </c>
      <c r="C17" s="3" t="s">
        <v>41</v>
      </c>
      <c r="D17" s="3" t="s">
        <v>25</v>
      </c>
      <c r="E17" s="3" t="s">
        <v>68</v>
      </c>
      <c r="F17" s="3" t="str">
        <f aca="false">IF(E17="","","https://"&amp;E17)</f>
        <v>https://merojob.com</v>
      </c>
      <c r="G17" s="3" t="str">
        <f aca="false">IF(E17="","","https://www.google.com/s2/favicons?domain="&amp;E17&amp;"&amp;sz=128")</f>
        <v>https://www.google.com/s2/favicons?domain=merojob.com&amp;sz=128</v>
      </c>
      <c r="H17" s="3" t="str">
        <f aca="false">"https://www.linkedin.com/search/results/companies/?keywords="&amp;SUBSTITUTE(B17," ","%20")</f>
        <v>https://www.linkedin.com/search/results/companies/?keywords=Merojob</v>
      </c>
      <c r="I17" s="3" t="str">
        <f aca="false">"https://www.linkedin.com/search/results/people/?keywords=HR%20recruiter%20"&amp;SUBSTITUTE(B17," ","%20")</f>
        <v>https://www.linkedin.com/search/results/people/?keywords=HR%20recruiter%20Merojob</v>
      </c>
      <c r="J17" s="4"/>
      <c r="K17" s="4"/>
      <c r="L17" s="4"/>
      <c r="M17" s="4"/>
      <c r="N17" s="5" t="s">
        <v>69</v>
      </c>
      <c r="O17" s="3" t="s">
        <v>20</v>
      </c>
    </row>
    <row r="18" customFormat="false" ht="15" hidden="false" customHeight="false" outlineLevel="0" collapsed="false">
      <c r="A18" s="3" t="n">
        <v>17</v>
      </c>
      <c r="B18" s="3" t="s">
        <v>70</v>
      </c>
      <c r="C18" s="3" t="s">
        <v>41</v>
      </c>
      <c r="D18" s="3" t="s">
        <v>25</v>
      </c>
      <c r="E18" s="3" t="s">
        <v>71</v>
      </c>
      <c r="F18" s="3" t="str">
        <f aca="false">IF(E18="","","https://"&amp;E18)</f>
        <v>https://kumarijob.com</v>
      </c>
      <c r="G18" s="3" t="str">
        <f aca="false">IF(E18="","","https://www.google.com/s2/favicons?domain="&amp;E18&amp;"&amp;sz=128")</f>
        <v>https://www.google.com/s2/favicons?domain=kumarijob.com&amp;sz=128</v>
      </c>
      <c r="H18" s="3" t="str">
        <f aca="false">"https://www.linkedin.com/search/results/companies/?keywords="&amp;SUBSTITUTE(B18," ","%20")</f>
        <v>https://www.linkedin.com/search/results/companies/?keywords=Kumari%20Job</v>
      </c>
      <c r="I18" s="3" t="str">
        <f aca="false">"https://www.linkedin.com/search/results/people/?keywords=HR%20recruiter%20"&amp;SUBSTITUTE(B18," ","%20")</f>
        <v>https://www.linkedin.com/search/results/people/?keywords=HR%20recruiter%20Kumari%20Job</v>
      </c>
      <c r="J18" s="4"/>
      <c r="K18" s="4"/>
      <c r="L18" s="4"/>
      <c r="M18" s="4"/>
      <c r="N18" s="5" t="s">
        <v>72</v>
      </c>
      <c r="O18" s="3" t="s">
        <v>20</v>
      </c>
    </row>
    <row r="19" customFormat="false" ht="15" hidden="false" customHeight="false" outlineLevel="0" collapsed="false">
      <c r="A19" s="3" t="n">
        <v>18</v>
      </c>
      <c r="B19" s="3" t="s">
        <v>73</v>
      </c>
      <c r="C19" s="3" t="s">
        <v>41</v>
      </c>
      <c r="D19" s="3" t="s">
        <v>25</v>
      </c>
      <c r="E19" s="3" t="s">
        <v>74</v>
      </c>
      <c r="F19" s="3" t="str">
        <f aca="false">IF(E19="","","https://"&amp;E19)</f>
        <v>https://jobsnepal.com</v>
      </c>
      <c r="G19" s="3" t="str">
        <f aca="false">IF(E19="","","https://www.google.com/s2/favicons?domain="&amp;E19&amp;"&amp;sz=128")</f>
        <v>https://www.google.com/s2/favicons?domain=jobsnepal.com&amp;sz=128</v>
      </c>
      <c r="H19" s="3" t="str">
        <f aca="false">"https://www.linkedin.com/search/results/companies/?keywords="&amp;SUBSTITUTE(B19," ","%20")</f>
        <v>https://www.linkedin.com/search/results/companies/?keywords=Jobsnepal</v>
      </c>
      <c r="I19" s="3" t="str">
        <f aca="false">"https://www.linkedin.com/search/results/people/?keywords=HR%20recruiter%20"&amp;SUBSTITUTE(B19," ","%20")</f>
        <v>https://www.linkedin.com/search/results/people/?keywords=HR%20recruiter%20Jobsnepal</v>
      </c>
      <c r="J19" s="4"/>
      <c r="K19" s="4"/>
      <c r="L19" s="4"/>
      <c r="M19" s="4"/>
      <c r="N19" s="5" t="s">
        <v>75</v>
      </c>
      <c r="O19" s="3" t="s">
        <v>20</v>
      </c>
    </row>
    <row r="20" customFormat="false" ht="15" hidden="false" customHeight="false" outlineLevel="0" collapsed="false">
      <c r="A20" s="3" t="n">
        <v>19</v>
      </c>
      <c r="B20" s="3" t="s">
        <v>76</v>
      </c>
      <c r="C20" s="3" t="s">
        <v>41</v>
      </c>
      <c r="D20" s="3" t="s">
        <v>25</v>
      </c>
      <c r="E20" s="3" t="s">
        <v>77</v>
      </c>
      <c r="F20" s="3" t="str">
        <f aca="false">IF(E20="","","https://"&amp;E20)</f>
        <v>https://sparrowsms.com</v>
      </c>
      <c r="G20" s="3" t="str">
        <f aca="false">IF(E20="","","https://www.google.com/s2/favicons?domain="&amp;E20&amp;"&amp;sz=128")</f>
        <v>https://www.google.com/s2/favicons?domain=sparrowsms.com&amp;sz=128</v>
      </c>
      <c r="H20" s="3" t="str">
        <f aca="false">"https://www.linkedin.com/search/results/companies/?keywords="&amp;SUBSTITUTE(B20," ","%20")</f>
        <v>https://www.linkedin.com/search/results/companies/?keywords=Sparrow%20SMS</v>
      </c>
      <c r="I20" s="3" t="str">
        <f aca="false">"https://www.linkedin.com/search/results/people/?keywords=HR%20recruiter%20"&amp;SUBSTITUTE(B20," ","%20")</f>
        <v>https://www.linkedin.com/search/results/people/?keywords=HR%20recruiter%20Sparrow%20SMS</v>
      </c>
      <c r="J20" s="4"/>
      <c r="K20" s="4"/>
      <c r="L20" s="4"/>
      <c r="M20" s="4"/>
      <c r="N20" s="5" t="s">
        <v>78</v>
      </c>
      <c r="O20" s="3" t="s">
        <v>20</v>
      </c>
    </row>
    <row r="21" customFormat="false" ht="23.85" hidden="false" customHeight="false" outlineLevel="0" collapsed="false">
      <c r="A21" s="3" t="n">
        <v>20</v>
      </c>
      <c r="B21" s="3" t="s">
        <v>79</v>
      </c>
      <c r="C21" s="3" t="s">
        <v>80</v>
      </c>
      <c r="D21" s="3" t="s">
        <v>17</v>
      </c>
      <c r="E21" s="3" t="s">
        <v>81</v>
      </c>
      <c r="F21" s="3" t="str">
        <f aca="false">IF(E21="","","https://"&amp;E21)</f>
        <v>https://lftechnology.com</v>
      </c>
      <c r="G21" s="3" t="str">
        <f aca="false">IF(E21="","","https://www.google.com/s2/favicons?domain="&amp;E21&amp;"&amp;sz=128")</f>
        <v>https://www.google.com/s2/favicons?domain=lftechnology.com&amp;sz=128</v>
      </c>
      <c r="H21" s="3" t="str">
        <f aca="false">"https://www.linkedin.com/search/results/companies/?keywords="&amp;SUBSTITUTE(B21," ","%20")</f>
        <v>https://www.linkedin.com/search/results/companies/?keywords=Leapfrog%20Technology</v>
      </c>
      <c r="I21" s="3" t="str">
        <f aca="false">"https://www.linkedin.com/search/results/people/?keywords=HR%20recruiter%20"&amp;SUBSTITUTE(B21," ","%20")</f>
        <v>https://www.linkedin.com/search/results/people/?keywords=HR%20recruiter%20Leapfrog%20Technology</v>
      </c>
      <c r="J21" s="4"/>
      <c r="K21" s="4"/>
      <c r="L21" s="4"/>
      <c r="M21" s="4"/>
      <c r="N21" s="5" t="s">
        <v>82</v>
      </c>
      <c r="O21" s="3" t="s">
        <v>20</v>
      </c>
    </row>
    <row r="22" customFormat="false" ht="23.85" hidden="false" customHeight="false" outlineLevel="0" collapsed="false">
      <c r="A22" s="3" t="n">
        <v>21</v>
      </c>
      <c r="B22" s="3" t="s">
        <v>83</v>
      </c>
      <c r="C22" s="3" t="s">
        <v>80</v>
      </c>
      <c r="D22" s="3" t="s">
        <v>25</v>
      </c>
      <c r="E22" s="3" t="s">
        <v>84</v>
      </c>
      <c r="F22" s="3" t="str">
        <f aca="false">IF(E22="","","https://"&amp;E22)</f>
        <v>https://fusemachines.com</v>
      </c>
      <c r="G22" s="3" t="str">
        <f aca="false">IF(E22="","","https://www.google.com/s2/favicons?domain="&amp;E22&amp;"&amp;sz=128")</f>
        <v>https://www.google.com/s2/favicons?domain=fusemachines.com&amp;sz=128</v>
      </c>
      <c r="H22" s="3" t="str">
        <f aca="false">"https://www.linkedin.com/search/results/companies/?keywords="&amp;SUBSTITUTE(B22," ","%20")</f>
        <v>https://www.linkedin.com/search/results/companies/?keywords=Fusemachines</v>
      </c>
      <c r="I22" s="3" t="str">
        <f aca="false">"https://www.linkedin.com/search/results/people/?keywords=HR%20recruiter%20"&amp;SUBSTITUTE(B22," ","%20")</f>
        <v>https://www.linkedin.com/search/results/people/?keywords=HR%20recruiter%20Fusemachines</v>
      </c>
      <c r="J22" s="4"/>
      <c r="K22" s="4"/>
      <c r="L22" s="4"/>
      <c r="M22" s="4"/>
      <c r="N22" s="5" t="s">
        <v>85</v>
      </c>
      <c r="O22" s="3" t="s">
        <v>20</v>
      </c>
    </row>
    <row r="23" customFormat="false" ht="15" hidden="false" customHeight="false" outlineLevel="0" collapsed="false">
      <c r="A23" s="3" t="n">
        <v>22</v>
      </c>
      <c r="B23" s="3" t="s">
        <v>86</v>
      </c>
      <c r="C23" s="3" t="s">
        <v>80</v>
      </c>
      <c r="D23" s="3" t="s">
        <v>17</v>
      </c>
      <c r="E23" s="3" t="s">
        <v>87</v>
      </c>
      <c r="F23" s="3" t="str">
        <f aca="false">IF(E23="","","https://"&amp;E23)</f>
        <v>https://deerwalk.com</v>
      </c>
      <c r="G23" s="3" t="str">
        <f aca="false">IF(E23="","","https://www.google.com/s2/favicons?domain="&amp;E23&amp;"&amp;sz=128")</f>
        <v>https://www.google.com/s2/favicons?domain=deerwalk.com&amp;sz=128</v>
      </c>
      <c r="H23" s="3" t="str">
        <f aca="false">"https://www.linkedin.com/search/results/companies/?keywords="&amp;SUBSTITUTE(B23," ","%20")</f>
        <v>https://www.linkedin.com/search/results/companies/?keywords=Deerwalk</v>
      </c>
      <c r="I23" s="3" t="str">
        <f aca="false">"https://www.linkedin.com/search/results/people/?keywords=HR%20recruiter%20"&amp;SUBSTITUTE(B23," ","%20")</f>
        <v>https://www.linkedin.com/search/results/people/?keywords=HR%20recruiter%20Deerwalk</v>
      </c>
      <c r="J23" s="4"/>
      <c r="K23" s="4"/>
      <c r="L23" s="4"/>
      <c r="M23" s="4"/>
      <c r="N23" s="5" t="s">
        <v>88</v>
      </c>
      <c r="O23" s="3" t="s">
        <v>20</v>
      </c>
    </row>
    <row r="24" customFormat="false" ht="23.85" hidden="false" customHeight="false" outlineLevel="0" collapsed="false">
      <c r="A24" s="3" t="n">
        <v>23</v>
      </c>
      <c r="B24" s="3" t="s">
        <v>89</v>
      </c>
      <c r="C24" s="3" t="s">
        <v>80</v>
      </c>
      <c r="D24" s="3" t="s">
        <v>17</v>
      </c>
      <c r="E24" s="3" t="s">
        <v>90</v>
      </c>
      <c r="F24" s="3" t="str">
        <f aca="false">IF(E24="","","https://"&amp;E24)</f>
        <v>https://verisk.com</v>
      </c>
      <c r="G24" s="3" t="str">
        <f aca="false">IF(E24="","","https://www.google.com/s2/favicons?domain="&amp;E24&amp;"&amp;sz=128")</f>
        <v>https://www.google.com/s2/favicons?domain=verisk.com&amp;sz=128</v>
      </c>
      <c r="H24" s="3" t="str">
        <f aca="false">"https://www.linkedin.com/search/results/companies/?keywords="&amp;SUBSTITUTE(B24," ","%20")</f>
        <v>https://www.linkedin.com/search/results/companies/?keywords=Verisk%20Nepal</v>
      </c>
      <c r="I24" s="3" t="str">
        <f aca="false">"https://www.linkedin.com/search/results/people/?keywords=HR%20recruiter%20"&amp;SUBSTITUTE(B24," ","%20")</f>
        <v>https://www.linkedin.com/search/results/people/?keywords=HR%20recruiter%20Verisk%20Nepal</v>
      </c>
      <c r="J24" s="4"/>
      <c r="K24" s="4"/>
      <c r="L24" s="4"/>
      <c r="M24" s="4"/>
      <c r="N24" s="5" t="s">
        <v>91</v>
      </c>
      <c r="O24" s="3" t="s">
        <v>20</v>
      </c>
    </row>
    <row r="25" customFormat="false" ht="23.85" hidden="false" customHeight="false" outlineLevel="0" collapsed="false">
      <c r="A25" s="3" t="n">
        <v>24</v>
      </c>
      <c r="B25" s="3" t="s">
        <v>92</v>
      </c>
      <c r="C25" s="3" t="s">
        <v>80</v>
      </c>
      <c r="D25" s="3" t="s">
        <v>17</v>
      </c>
      <c r="E25" s="3" t="s">
        <v>93</v>
      </c>
      <c r="F25" s="3" t="str">
        <f aca="false">IF(E25="","","https://"&amp;E25)</f>
        <v>https://cotiviti.com</v>
      </c>
      <c r="G25" s="3" t="str">
        <f aca="false">IF(E25="","","https://www.google.com/s2/favicons?domain="&amp;E25&amp;"&amp;sz=128")</f>
        <v>https://www.google.com/s2/favicons?domain=cotiviti.com&amp;sz=128</v>
      </c>
      <c r="H25" s="3" t="str">
        <f aca="false">"https://www.linkedin.com/search/results/companies/?keywords="&amp;SUBSTITUTE(B25," ","%20")</f>
        <v>https://www.linkedin.com/search/results/companies/?keywords=Cotiviti%20Nepal</v>
      </c>
      <c r="I25" s="3" t="str">
        <f aca="false">"https://www.linkedin.com/search/results/people/?keywords=HR%20recruiter%20"&amp;SUBSTITUTE(B25," ","%20")</f>
        <v>https://www.linkedin.com/search/results/people/?keywords=HR%20recruiter%20Cotiviti%20Nepal</v>
      </c>
      <c r="J25" s="4"/>
      <c r="K25" s="4"/>
      <c r="L25" s="4"/>
      <c r="M25" s="4"/>
      <c r="N25" s="5" t="s">
        <v>94</v>
      </c>
      <c r="O25" s="3" t="s">
        <v>20</v>
      </c>
    </row>
    <row r="26" customFormat="false" ht="23.85" hidden="false" customHeight="false" outlineLevel="0" collapsed="false">
      <c r="A26" s="3" t="n">
        <v>25</v>
      </c>
      <c r="B26" s="3" t="s">
        <v>95</v>
      </c>
      <c r="C26" s="3" t="s">
        <v>80</v>
      </c>
      <c r="D26" s="3" t="s">
        <v>17</v>
      </c>
      <c r="E26" s="3" t="s">
        <v>96</v>
      </c>
      <c r="F26" s="3" t="str">
        <f aca="false">IF(E26="","","https://"&amp;E26)</f>
        <v>https://cedargate.com</v>
      </c>
      <c r="G26" s="3" t="str">
        <f aca="false">IF(E26="","","https://www.google.com/s2/favicons?domain="&amp;E26&amp;"&amp;sz=128")</f>
        <v>https://www.google.com/s2/favicons?domain=cedargate.com&amp;sz=128</v>
      </c>
      <c r="H26" s="3" t="str">
        <f aca="false">"https://www.linkedin.com/search/results/companies/?keywords="&amp;SUBSTITUTE(B26," ","%20")</f>
        <v>https://www.linkedin.com/search/results/companies/?keywords=Cedar%20Gate%20Technologies</v>
      </c>
      <c r="I26" s="3" t="str">
        <f aca="false">"https://www.linkedin.com/search/results/people/?keywords=HR%20recruiter%20"&amp;SUBSTITUTE(B26," ","%20")</f>
        <v>https://www.linkedin.com/search/results/people/?keywords=HR%20recruiter%20Cedar%20Gate%20Technologies</v>
      </c>
      <c r="J26" s="4"/>
      <c r="K26" s="4"/>
      <c r="L26" s="4"/>
      <c r="M26" s="4"/>
      <c r="N26" s="5" t="s">
        <v>97</v>
      </c>
      <c r="O26" s="3" t="s">
        <v>20</v>
      </c>
    </row>
    <row r="27" customFormat="false" ht="15" hidden="false" customHeight="false" outlineLevel="0" collapsed="false">
      <c r="A27" s="3" t="n">
        <v>26</v>
      </c>
      <c r="B27" s="3" t="s">
        <v>98</v>
      </c>
      <c r="C27" s="3" t="s">
        <v>80</v>
      </c>
      <c r="D27" s="3" t="s">
        <v>17</v>
      </c>
      <c r="E27" s="3" t="s">
        <v>99</v>
      </c>
      <c r="F27" s="3" t="str">
        <f aca="false">IF(E27="","","https://"&amp;E27)</f>
        <v>https://javra.com</v>
      </c>
      <c r="G27" s="3" t="str">
        <f aca="false">IF(E27="","","https://www.google.com/s2/favicons?domain="&amp;E27&amp;"&amp;sz=128")</f>
        <v>https://www.google.com/s2/favicons?domain=javra.com&amp;sz=128</v>
      </c>
      <c r="H27" s="3" t="str">
        <f aca="false">"https://www.linkedin.com/search/results/companies/?keywords="&amp;SUBSTITUTE(B27," ","%20")</f>
        <v>https://www.linkedin.com/search/results/companies/?keywords=Javra%20Software</v>
      </c>
      <c r="I27" s="3" t="str">
        <f aca="false">"https://www.linkedin.com/search/results/people/?keywords=HR%20recruiter%20"&amp;SUBSTITUTE(B27," ","%20")</f>
        <v>https://www.linkedin.com/search/results/people/?keywords=HR%20recruiter%20Javra%20Software</v>
      </c>
      <c r="J27" s="4"/>
      <c r="K27" s="4"/>
      <c r="L27" s="4"/>
      <c r="M27" s="4"/>
      <c r="N27" s="5" t="s">
        <v>100</v>
      </c>
      <c r="O27" s="3" t="s">
        <v>20</v>
      </c>
    </row>
    <row r="28" customFormat="false" ht="23.85" hidden="false" customHeight="false" outlineLevel="0" collapsed="false">
      <c r="A28" s="3" t="n">
        <v>27</v>
      </c>
      <c r="B28" s="3" t="s">
        <v>101</v>
      </c>
      <c r="C28" s="3" t="s">
        <v>80</v>
      </c>
      <c r="D28" s="3" t="s">
        <v>25</v>
      </c>
      <c r="E28" s="3" t="s">
        <v>102</v>
      </c>
      <c r="F28" s="3" t="str">
        <f aca="false">IF(E28="","","https://"&amp;E28)</f>
        <v>https://ebpearls.com</v>
      </c>
      <c r="G28" s="3" t="str">
        <f aca="false">IF(E28="","","https://www.google.com/s2/favicons?domain="&amp;E28&amp;"&amp;sz=128")</f>
        <v>https://www.google.com/s2/favicons?domain=ebpearls.com&amp;sz=128</v>
      </c>
      <c r="H28" s="3" t="str">
        <f aca="false">"https://www.linkedin.com/search/results/companies/?keywords="&amp;SUBSTITUTE(B28," ","%20")</f>
        <v>https://www.linkedin.com/search/results/companies/?keywords=EB%20Pearls</v>
      </c>
      <c r="I28" s="3" t="str">
        <f aca="false">"https://www.linkedin.com/search/results/people/?keywords=HR%20recruiter%20"&amp;SUBSTITUTE(B28," ","%20")</f>
        <v>https://www.linkedin.com/search/results/people/?keywords=HR%20recruiter%20EB%20Pearls</v>
      </c>
      <c r="J28" s="4"/>
      <c r="K28" s="4"/>
      <c r="L28" s="4"/>
      <c r="M28" s="4"/>
      <c r="N28" s="5" t="s">
        <v>103</v>
      </c>
      <c r="O28" s="3" t="s">
        <v>20</v>
      </c>
    </row>
    <row r="29" customFormat="false" ht="23.85" hidden="false" customHeight="false" outlineLevel="0" collapsed="false">
      <c r="A29" s="3" t="n">
        <v>28</v>
      </c>
      <c r="B29" s="3" t="s">
        <v>104</v>
      </c>
      <c r="C29" s="3" t="s">
        <v>80</v>
      </c>
      <c r="D29" s="3" t="s">
        <v>17</v>
      </c>
      <c r="E29" s="3" t="s">
        <v>105</v>
      </c>
      <c r="F29" s="3" t="str">
        <f aca="false">IF(E29="","","https://"&amp;E29)</f>
        <v>https://vrittechnologies.com</v>
      </c>
      <c r="G29" s="3" t="str">
        <f aca="false">IF(E29="","","https://www.google.com/s2/favicons?domain="&amp;E29&amp;"&amp;sz=128")</f>
        <v>https://www.google.com/s2/favicons?domain=vrittechnologies.com&amp;sz=128</v>
      </c>
      <c r="H29" s="3" t="str">
        <f aca="false">"https://www.linkedin.com/search/results/companies/?keywords="&amp;SUBSTITUTE(B29," ","%20")</f>
        <v>https://www.linkedin.com/search/results/companies/?keywords=Vrit%20Technologies</v>
      </c>
      <c r="I29" s="3" t="str">
        <f aca="false">"https://www.linkedin.com/search/results/people/?keywords=HR%20recruiter%20"&amp;SUBSTITUTE(B29," ","%20")</f>
        <v>https://www.linkedin.com/search/results/people/?keywords=HR%20recruiter%20Vrit%20Technologies</v>
      </c>
      <c r="J29" s="4"/>
      <c r="K29" s="4"/>
      <c r="L29" s="4"/>
      <c r="M29" s="4"/>
      <c r="N29" s="5" t="s">
        <v>106</v>
      </c>
      <c r="O29" s="3" t="s">
        <v>20</v>
      </c>
    </row>
    <row r="30" customFormat="false" ht="23.85" hidden="false" customHeight="false" outlineLevel="0" collapsed="false">
      <c r="A30" s="3" t="n">
        <v>29</v>
      </c>
      <c r="B30" s="3" t="s">
        <v>107</v>
      </c>
      <c r="C30" s="3" t="s">
        <v>80</v>
      </c>
      <c r="D30" s="3" t="s">
        <v>25</v>
      </c>
      <c r="E30" s="3" t="s">
        <v>108</v>
      </c>
      <c r="F30" s="3" t="str">
        <f aca="false">IF(E30="","","https://"&amp;E30)</f>
        <v>https://cloudfactory.com</v>
      </c>
      <c r="G30" s="3" t="str">
        <f aca="false">IF(E30="","","https://www.google.com/s2/favicons?domain="&amp;E30&amp;"&amp;sz=128")</f>
        <v>https://www.google.com/s2/favicons?domain=cloudfactory.com&amp;sz=128</v>
      </c>
      <c r="H30" s="3" t="str">
        <f aca="false">"https://www.linkedin.com/search/results/companies/?keywords="&amp;SUBSTITUTE(B30," ","%20")</f>
        <v>https://www.linkedin.com/search/results/companies/?keywords=CloudFactory</v>
      </c>
      <c r="I30" s="3" t="str">
        <f aca="false">"https://www.linkedin.com/search/results/people/?keywords=HR%20recruiter%20"&amp;SUBSTITUTE(B30," ","%20")</f>
        <v>https://www.linkedin.com/search/results/people/?keywords=HR%20recruiter%20CloudFactory</v>
      </c>
      <c r="J30" s="4"/>
      <c r="K30" s="4"/>
      <c r="L30" s="4"/>
      <c r="M30" s="4"/>
      <c r="N30" s="5" t="s">
        <v>109</v>
      </c>
      <c r="O30" s="3" t="s">
        <v>20</v>
      </c>
    </row>
    <row r="31" customFormat="false" ht="15" hidden="false" customHeight="false" outlineLevel="0" collapsed="false">
      <c r="A31" s="3" t="n">
        <v>30</v>
      </c>
      <c r="B31" s="3" t="s">
        <v>110</v>
      </c>
      <c r="C31" s="3" t="s">
        <v>80</v>
      </c>
      <c r="D31" s="3" t="s">
        <v>17</v>
      </c>
      <c r="E31" s="3" t="s">
        <v>111</v>
      </c>
      <c r="F31" s="3" t="str">
        <f aca="false">IF(E31="","","https://"&amp;E31)</f>
        <v>https://proshore.eu</v>
      </c>
      <c r="G31" s="3" t="str">
        <f aca="false">IF(E31="","","https://www.google.com/s2/favicons?domain="&amp;E31&amp;"&amp;sz=128")</f>
        <v>https://www.google.com/s2/favicons?domain=proshore.eu&amp;sz=128</v>
      </c>
      <c r="H31" s="3" t="str">
        <f aca="false">"https://www.linkedin.com/search/results/companies/?keywords="&amp;SUBSTITUTE(B31," ","%20")</f>
        <v>https://www.linkedin.com/search/results/companies/?keywords=Proshore</v>
      </c>
      <c r="I31" s="3" t="str">
        <f aca="false">"https://www.linkedin.com/search/results/people/?keywords=HR%20recruiter%20"&amp;SUBSTITUTE(B31," ","%20")</f>
        <v>https://www.linkedin.com/search/results/people/?keywords=HR%20recruiter%20Proshore</v>
      </c>
      <c r="J31" s="4"/>
      <c r="K31" s="4"/>
      <c r="L31" s="4"/>
      <c r="M31" s="4"/>
      <c r="N31" s="5" t="s">
        <v>112</v>
      </c>
      <c r="O31" s="3" t="s">
        <v>20</v>
      </c>
    </row>
    <row r="32" customFormat="false" ht="15" hidden="false" customHeight="false" outlineLevel="0" collapsed="false">
      <c r="A32" s="3" t="n">
        <v>31</v>
      </c>
      <c r="B32" s="3" t="s">
        <v>113</v>
      </c>
      <c r="C32" s="3" t="s">
        <v>80</v>
      </c>
      <c r="D32" s="3" t="s">
        <v>25</v>
      </c>
      <c r="E32" s="3" t="s">
        <v>114</v>
      </c>
      <c r="F32" s="3" t="str">
        <f aca="false">IF(E32="","","https://"&amp;E32)</f>
        <v>https://braindigit.com</v>
      </c>
      <c r="G32" s="3" t="str">
        <f aca="false">IF(E32="","","https://www.google.com/s2/favicons?domain="&amp;E32&amp;"&amp;sz=128")</f>
        <v>https://www.google.com/s2/favicons?domain=braindigit.com&amp;sz=128</v>
      </c>
      <c r="H32" s="3" t="str">
        <f aca="false">"https://www.linkedin.com/search/results/companies/?keywords="&amp;SUBSTITUTE(B32," ","%20")</f>
        <v>https://www.linkedin.com/search/results/companies/?keywords=Braindigit%20IT%20Solution</v>
      </c>
      <c r="I32" s="3" t="str">
        <f aca="false">"https://www.linkedin.com/search/results/people/?keywords=HR%20recruiter%20"&amp;SUBSTITUTE(B32," ","%20")</f>
        <v>https://www.linkedin.com/search/results/people/?keywords=HR%20recruiter%20Braindigit%20IT%20Solution</v>
      </c>
      <c r="J32" s="4"/>
      <c r="K32" s="4"/>
      <c r="L32" s="4"/>
      <c r="M32" s="4"/>
      <c r="N32" s="5" t="s">
        <v>115</v>
      </c>
      <c r="O32" s="3" t="s">
        <v>20</v>
      </c>
    </row>
    <row r="33" customFormat="false" ht="23.85" hidden="false" customHeight="false" outlineLevel="0" collapsed="false">
      <c r="A33" s="3" t="n">
        <v>32</v>
      </c>
      <c r="B33" s="3" t="s">
        <v>116</v>
      </c>
      <c r="C33" s="3" t="s">
        <v>80</v>
      </c>
      <c r="D33" s="3" t="s">
        <v>17</v>
      </c>
      <c r="E33" s="3" t="s">
        <v>117</v>
      </c>
      <c r="F33" s="3" t="str">
        <f aca="false">IF(E33="","","https://"&amp;E33)</f>
        <v>https://younginnovations.com.np</v>
      </c>
      <c r="G33" s="3" t="str">
        <f aca="false">IF(E33="","","https://www.google.com/s2/favicons?domain="&amp;E33&amp;"&amp;sz=128")</f>
        <v>https://www.google.com/s2/favicons?domain=younginnovations.com.np&amp;sz=128</v>
      </c>
      <c r="H33" s="3" t="str">
        <f aca="false">"https://www.linkedin.com/search/results/companies/?keywords="&amp;SUBSTITUTE(B33," ","%20")</f>
        <v>https://www.linkedin.com/search/results/companies/?keywords=Young%20Innovations</v>
      </c>
      <c r="I33" s="3" t="str">
        <f aca="false">"https://www.linkedin.com/search/results/people/?keywords=HR%20recruiter%20"&amp;SUBSTITUTE(B33," ","%20")</f>
        <v>https://www.linkedin.com/search/results/people/?keywords=HR%20recruiter%20Young%20Innovations</v>
      </c>
      <c r="J33" s="4"/>
      <c r="K33" s="4"/>
      <c r="L33" s="4"/>
      <c r="M33" s="4"/>
      <c r="N33" s="5" t="s">
        <v>118</v>
      </c>
      <c r="O33" s="3" t="s">
        <v>20</v>
      </c>
    </row>
    <row r="34" customFormat="false" ht="15" hidden="false" customHeight="false" outlineLevel="0" collapsed="false">
      <c r="A34" s="3" t="n">
        <v>33</v>
      </c>
      <c r="B34" s="3" t="s">
        <v>119</v>
      </c>
      <c r="C34" s="3" t="s">
        <v>80</v>
      </c>
      <c r="D34" s="3" t="s">
        <v>17</v>
      </c>
      <c r="E34" s="3" t="s">
        <v>120</v>
      </c>
      <c r="F34" s="3" t="str">
        <f aca="false">IF(E34="","","https://"&amp;E34)</f>
        <v>https://yomari.com</v>
      </c>
      <c r="G34" s="3" t="str">
        <f aca="false">IF(E34="","","https://www.google.com/s2/favicons?domain="&amp;E34&amp;"&amp;sz=128")</f>
        <v>https://www.google.com/s2/favicons?domain=yomari.com&amp;sz=128</v>
      </c>
      <c r="H34" s="3" t="str">
        <f aca="false">"https://www.linkedin.com/search/results/companies/?keywords="&amp;SUBSTITUTE(B34," ","%20")</f>
        <v>https://www.linkedin.com/search/results/companies/?keywords=Yomari</v>
      </c>
      <c r="I34" s="3" t="str">
        <f aca="false">"https://www.linkedin.com/search/results/people/?keywords=HR%20recruiter%20"&amp;SUBSTITUTE(B34," ","%20")</f>
        <v>https://www.linkedin.com/search/results/people/?keywords=HR%20recruiter%20Yomari</v>
      </c>
      <c r="J34" s="4"/>
      <c r="K34" s="4"/>
      <c r="L34" s="4"/>
      <c r="M34" s="4"/>
      <c r="N34" s="5" t="s">
        <v>121</v>
      </c>
      <c r="O34" s="3" t="s">
        <v>20</v>
      </c>
    </row>
    <row r="35" customFormat="false" ht="15" hidden="false" customHeight="false" outlineLevel="0" collapsed="false">
      <c r="A35" s="3" t="n">
        <v>34</v>
      </c>
      <c r="B35" s="3" t="s">
        <v>122</v>
      </c>
      <c r="C35" s="3" t="s">
        <v>80</v>
      </c>
      <c r="D35" s="3" t="s">
        <v>25</v>
      </c>
      <c r="E35" s="3" t="s">
        <v>123</v>
      </c>
      <c r="F35" s="3" t="str">
        <f aca="false">IF(E35="","","https://"&amp;E35)</f>
        <v>https://cloudhimalaya.com</v>
      </c>
      <c r="G35" s="3" t="str">
        <f aca="false">IF(E35="","","https://www.google.com/s2/favicons?domain="&amp;E35&amp;"&amp;sz=128")</f>
        <v>https://www.google.com/s2/favicons?domain=cloudhimalaya.com&amp;sz=128</v>
      </c>
      <c r="H35" s="3" t="str">
        <f aca="false">"https://www.linkedin.com/search/results/companies/?keywords="&amp;SUBSTITUTE(B35," ","%20")</f>
        <v>https://www.linkedin.com/search/results/companies/?keywords=Cloud%20Himalaya</v>
      </c>
      <c r="I35" s="3" t="str">
        <f aca="false">"https://www.linkedin.com/search/results/people/?keywords=HR%20recruiter%20"&amp;SUBSTITUTE(B35," ","%20")</f>
        <v>https://www.linkedin.com/search/results/people/?keywords=HR%20recruiter%20Cloud%20Himalaya</v>
      </c>
      <c r="J35" s="4"/>
      <c r="K35" s="4"/>
      <c r="L35" s="4"/>
      <c r="M35" s="4"/>
      <c r="N35" s="5" t="s">
        <v>124</v>
      </c>
      <c r="O35" s="3" t="s">
        <v>20</v>
      </c>
    </row>
    <row r="36" customFormat="false" ht="15" hidden="false" customHeight="false" outlineLevel="0" collapsed="false">
      <c r="A36" s="3" t="n">
        <v>35</v>
      </c>
      <c r="B36" s="3" t="s">
        <v>125</v>
      </c>
      <c r="C36" s="3" t="s">
        <v>80</v>
      </c>
      <c r="D36" s="3" t="s">
        <v>25</v>
      </c>
      <c r="E36" s="3" t="s">
        <v>126</v>
      </c>
      <c r="F36" s="3" t="str">
        <f aca="false">IF(E36="","","https://"&amp;E36)</f>
        <v>https://genesesolution.com</v>
      </c>
      <c r="G36" s="3" t="str">
        <f aca="false">IF(E36="","","https://www.google.com/s2/favicons?domain="&amp;E36&amp;"&amp;sz=128")</f>
        <v>https://www.google.com/s2/favicons?domain=genesesolution.com&amp;sz=128</v>
      </c>
      <c r="H36" s="3" t="str">
        <f aca="false">"https://www.linkedin.com/search/results/companies/?keywords="&amp;SUBSTITUTE(B36," ","%20")</f>
        <v>https://www.linkedin.com/search/results/companies/?keywords=Genese%20Solution</v>
      </c>
      <c r="I36" s="3" t="str">
        <f aca="false">"https://www.linkedin.com/search/results/people/?keywords=HR%20recruiter%20"&amp;SUBSTITUTE(B36," ","%20")</f>
        <v>https://www.linkedin.com/search/results/people/?keywords=HR%20recruiter%20Genese%20Solution</v>
      </c>
      <c r="J36" s="4"/>
      <c r="K36" s="4"/>
      <c r="L36" s="4"/>
      <c r="M36" s="4"/>
      <c r="N36" s="5" t="s">
        <v>127</v>
      </c>
      <c r="O36" s="3" t="s">
        <v>20</v>
      </c>
    </row>
    <row r="37" customFormat="false" ht="15" hidden="false" customHeight="false" outlineLevel="0" collapsed="false">
      <c r="A37" s="3" t="n">
        <v>36</v>
      </c>
      <c r="B37" s="3" t="s">
        <v>128</v>
      </c>
      <c r="C37" s="3" t="s">
        <v>80</v>
      </c>
      <c r="D37" s="3" t="s">
        <v>25</v>
      </c>
      <c r="E37" s="3" t="s">
        <v>129</v>
      </c>
      <c r="F37" s="3" t="str">
        <f aca="false">IF(E37="","","https://"&amp;E37)</f>
        <v>https://insightworkshop.io</v>
      </c>
      <c r="G37" s="3" t="str">
        <f aca="false">IF(E37="","","https://www.google.com/s2/favicons?domain="&amp;E37&amp;"&amp;sz=128")</f>
        <v>https://www.google.com/s2/favicons?domain=insightworkshop.io&amp;sz=128</v>
      </c>
      <c r="H37" s="3" t="str">
        <f aca="false">"https://www.linkedin.com/search/results/companies/?keywords="&amp;SUBSTITUTE(B37," ","%20")</f>
        <v>https://www.linkedin.com/search/results/companies/?keywords=Insight%20Workshop</v>
      </c>
      <c r="I37" s="3" t="str">
        <f aca="false">"https://www.linkedin.com/search/results/people/?keywords=HR%20recruiter%20"&amp;SUBSTITUTE(B37," ","%20")</f>
        <v>https://www.linkedin.com/search/results/people/?keywords=HR%20recruiter%20Insight%20Workshop</v>
      </c>
      <c r="J37" s="4"/>
      <c r="K37" s="4"/>
      <c r="L37" s="4"/>
      <c r="M37" s="4"/>
      <c r="N37" s="5" t="s">
        <v>130</v>
      </c>
      <c r="O37" s="3" t="s">
        <v>20</v>
      </c>
    </row>
    <row r="38" customFormat="false" ht="15" hidden="false" customHeight="false" outlineLevel="0" collapsed="false">
      <c r="A38" s="3" t="n">
        <v>37</v>
      </c>
      <c r="B38" s="3" t="s">
        <v>131</v>
      </c>
      <c r="C38" s="3" t="s">
        <v>80</v>
      </c>
      <c r="D38" s="3" t="s">
        <v>17</v>
      </c>
      <c r="E38" s="3" t="s">
        <v>132</v>
      </c>
      <c r="F38" s="3" t="str">
        <f aca="false">IF(E38="","","https://"&amp;E38)</f>
        <v>https://ekbana.com</v>
      </c>
      <c r="G38" s="3" t="str">
        <f aca="false">IF(E38="","","https://www.google.com/s2/favicons?domain="&amp;E38&amp;"&amp;sz=128")</f>
        <v>https://www.google.com/s2/favicons?domain=ekbana.com&amp;sz=128</v>
      </c>
      <c r="H38" s="3" t="str">
        <f aca="false">"https://www.linkedin.com/search/results/companies/?keywords="&amp;SUBSTITUTE(B38," ","%20")</f>
        <v>https://www.linkedin.com/search/results/companies/?keywords=Ekbana</v>
      </c>
      <c r="I38" s="3" t="str">
        <f aca="false">"https://www.linkedin.com/search/results/people/?keywords=HR%20recruiter%20"&amp;SUBSTITUTE(B38," ","%20")</f>
        <v>https://www.linkedin.com/search/results/people/?keywords=HR%20recruiter%20Ekbana</v>
      </c>
      <c r="J38" s="4"/>
      <c r="K38" s="4"/>
      <c r="L38" s="4"/>
      <c r="M38" s="4"/>
      <c r="N38" s="5" t="s">
        <v>133</v>
      </c>
      <c r="O38" s="3" t="s">
        <v>20</v>
      </c>
    </row>
    <row r="39" customFormat="false" ht="15" hidden="false" customHeight="false" outlineLevel="0" collapsed="false">
      <c r="A39" s="3" t="n">
        <v>38</v>
      </c>
      <c r="B39" s="3" t="s">
        <v>134</v>
      </c>
      <c r="C39" s="3" t="s">
        <v>80</v>
      </c>
      <c r="D39" s="3" t="s">
        <v>25</v>
      </c>
      <c r="E39" s="3" t="s">
        <v>135</v>
      </c>
      <c r="F39" s="3" t="str">
        <f aca="false">IF(E39="","","https://"&amp;E39)</f>
        <v>https://naamche.com</v>
      </c>
      <c r="G39" s="3" t="str">
        <f aca="false">IF(E39="","","https://www.google.com/s2/favicons?domain="&amp;E39&amp;"&amp;sz=128")</f>
        <v>https://www.google.com/s2/favicons?domain=naamche.com&amp;sz=128</v>
      </c>
      <c r="H39" s="3" t="str">
        <f aca="false">"https://www.linkedin.com/search/results/companies/?keywords="&amp;SUBSTITUTE(B39," ","%20")</f>
        <v>https://www.linkedin.com/search/results/companies/?keywords=Naamche</v>
      </c>
      <c r="I39" s="3" t="str">
        <f aca="false">"https://www.linkedin.com/search/results/people/?keywords=HR%20recruiter%20"&amp;SUBSTITUTE(B39," ","%20")</f>
        <v>https://www.linkedin.com/search/results/people/?keywords=HR%20recruiter%20Naamche</v>
      </c>
      <c r="J39" s="4"/>
      <c r="K39" s="4"/>
      <c r="L39" s="4"/>
      <c r="M39" s="4"/>
      <c r="N39" s="5" t="s">
        <v>136</v>
      </c>
      <c r="O39" s="3" t="s">
        <v>20</v>
      </c>
    </row>
    <row r="40" customFormat="false" ht="15" hidden="false" customHeight="false" outlineLevel="0" collapsed="false">
      <c r="A40" s="3" t="n">
        <v>39</v>
      </c>
      <c r="B40" s="3" t="s">
        <v>137</v>
      </c>
      <c r="C40" s="3" t="s">
        <v>80</v>
      </c>
      <c r="D40" s="3" t="s">
        <v>25</v>
      </c>
      <c r="E40" s="3" t="s">
        <v>138</v>
      </c>
      <c r="F40" s="3" t="str">
        <f aca="false">IF(E40="","","https://"&amp;E40)</f>
        <v>https://infodevelopers.com.np</v>
      </c>
      <c r="G40" s="3" t="str">
        <f aca="false">IF(E40="","","https://www.google.com/s2/favicons?domain="&amp;E40&amp;"&amp;sz=128")</f>
        <v>https://www.google.com/s2/favicons?domain=infodevelopers.com.np&amp;sz=128</v>
      </c>
      <c r="H40" s="3" t="str">
        <f aca="false">"https://www.linkedin.com/search/results/companies/?keywords="&amp;SUBSTITUTE(B40," ","%20")</f>
        <v>https://www.linkedin.com/search/results/companies/?keywords=Info%20Developers</v>
      </c>
      <c r="I40" s="3" t="str">
        <f aca="false">"https://www.linkedin.com/search/results/people/?keywords=HR%20recruiter%20"&amp;SUBSTITUTE(B40," ","%20")</f>
        <v>https://www.linkedin.com/search/results/people/?keywords=HR%20recruiter%20Info%20Developers</v>
      </c>
      <c r="J40" s="4"/>
      <c r="K40" s="4"/>
      <c r="L40" s="4"/>
      <c r="M40" s="4"/>
      <c r="N40" s="5" t="s">
        <v>139</v>
      </c>
      <c r="O40" s="3" t="s">
        <v>20</v>
      </c>
    </row>
    <row r="41" customFormat="false" ht="15" hidden="false" customHeight="false" outlineLevel="0" collapsed="false">
      <c r="A41" s="3" t="n">
        <v>40</v>
      </c>
      <c r="B41" s="3" t="s">
        <v>140</v>
      </c>
      <c r="C41" s="3" t="s">
        <v>80</v>
      </c>
      <c r="D41" s="3" t="s">
        <v>17</v>
      </c>
      <c r="E41" s="3" t="s">
        <v>141</v>
      </c>
      <c r="F41" s="3" t="str">
        <f aca="false">IF(E41="","","https://"&amp;E41)</f>
        <v>https://truemark.dev</v>
      </c>
      <c r="G41" s="3" t="str">
        <f aca="false">IF(E41="","","https://www.google.com/s2/favicons?domain="&amp;E41&amp;"&amp;sz=128")</f>
        <v>https://www.google.com/s2/favicons?domain=truemark.dev&amp;sz=128</v>
      </c>
      <c r="H41" s="3" t="str">
        <f aca="false">"https://www.linkedin.com/search/results/companies/?keywords="&amp;SUBSTITUTE(B41," ","%20")</f>
        <v>https://www.linkedin.com/search/results/companies/?keywords=Truemark%20Technology</v>
      </c>
      <c r="I41" s="3" t="str">
        <f aca="false">"https://www.linkedin.com/search/results/people/?keywords=HR%20recruiter%20"&amp;SUBSTITUTE(B41," ","%20")</f>
        <v>https://www.linkedin.com/search/results/people/?keywords=HR%20recruiter%20Truemark%20Technology</v>
      </c>
      <c r="J41" s="4"/>
      <c r="K41" s="4"/>
      <c r="L41" s="4"/>
      <c r="M41" s="4"/>
      <c r="N41" s="5" t="s">
        <v>142</v>
      </c>
      <c r="O41" s="3" t="s">
        <v>20</v>
      </c>
    </row>
    <row r="42" customFormat="false" ht="15" hidden="false" customHeight="false" outlineLevel="0" collapsed="false">
      <c r="A42" s="3" t="n">
        <v>41</v>
      </c>
      <c r="B42" s="3" t="s">
        <v>143</v>
      </c>
      <c r="C42" s="3" t="s">
        <v>144</v>
      </c>
      <c r="D42" s="3" t="s">
        <v>25</v>
      </c>
      <c r="E42" s="3" t="s">
        <v>145</v>
      </c>
      <c r="F42" s="3" t="str">
        <f aca="false">IF(E42="","","https://"&amp;E42)</f>
        <v>https://mercantile.com.np</v>
      </c>
      <c r="G42" s="3" t="str">
        <f aca="false">IF(E42="","","https://www.google.com/s2/favicons?domain="&amp;E42&amp;"&amp;sz=128")</f>
        <v>https://www.google.com/s2/favicons?domain=mercantile.com.np&amp;sz=128</v>
      </c>
      <c r="H42" s="3" t="str">
        <f aca="false">"https://www.linkedin.com/search/results/companies/?keywords="&amp;SUBSTITUTE(B42," ","%20")</f>
        <v>https://www.linkedin.com/search/results/companies/?keywords=Mercantile%20Communications</v>
      </c>
      <c r="I42" s="3" t="str">
        <f aca="false">"https://www.linkedin.com/search/results/people/?keywords=HR%20recruiter%20"&amp;SUBSTITUTE(B42," ","%20")</f>
        <v>https://www.linkedin.com/search/results/people/?keywords=HR%20recruiter%20Mercantile%20Communications</v>
      </c>
      <c r="J42" s="4"/>
      <c r="K42" s="4"/>
      <c r="L42" s="4"/>
      <c r="M42" s="4"/>
      <c r="N42" s="5" t="s">
        <v>146</v>
      </c>
      <c r="O42" s="3" t="s">
        <v>20</v>
      </c>
    </row>
    <row r="43" customFormat="false" ht="23.85" hidden="false" customHeight="false" outlineLevel="0" collapsed="false">
      <c r="A43" s="3" t="n">
        <v>42</v>
      </c>
      <c r="B43" s="3" t="s">
        <v>147</v>
      </c>
      <c r="C43" s="3" t="s">
        <v>148</v>
      </c>
      <c r="D43" s="3" t="s">
        <v>25</v>
      </c>
      <c r="E43" s="3" t="s">
        <v>149</v>
      </c>
      <c r="F43" s="3" t="str">
        <f aca="false">IF(E43="","","https://"&amp;E43)</f>
        <v>https://ntc.net.np</v>
      </c>
      <c r="G43" s="3" t="str">
        <f aca="false">IF(E43="","","https://www.google.com/s2/favicons?domain="&amp;E43&amp;"&amp;sz=128")</f>
        <v>https://www.google.com/s2/favicons?domain=ntc.net.np&amp;sz=128</v>
      </c>
      <c r="H43" s="3" t="str">
        <f aca="false">"https://www.linkedin.com/search/results/companies/?keywords="&amp;SUBSTITUTE(B43," ","%20")</f>
        <v>https://www.linkedin.com/search/results/companies/?keywords=Nepal%20Telecom%20(NTC)</v>
      </c>
      <c r="I43" s="3" t="str">
        <f aca="false">"https://www.linkedin.com/search/results/people/?keywords=HR%20recruiter%20"&amp;SUBSTITUTE(B43," ","%20")</f>
        <v>https://www.linkedin.com/search/results/people/?keywords=HR%20recruiter%20Nepal%20Telecom%20(NTC)</v>
      </c>
      <c r="J43" s="4"/>
      <c r="K43" s="4"/>
      <c r="L43" s="4"/>
      <c r="M43" s="4"/>
      <c r="N43" s="5" t="s">
        <v>150</v>
      </c>
      <c r="O43" s="3" t="s">
        <v>20</v>
      </c>
    </row>
    <row r="44" customFormat="false" ht="15" hidden="false" customHeight="false" outlineLevel="0" collapsed="false">
      <c r="A44" s="3" t="n">
        <v>43</v>
      </c>
      <c r="B44" s="3" t="s">
        <v>151</v>
      </c>
      <c r="C44" s="3" t="s">
        <v>148</v>
      </c>
      <c r="D44" s="3" t="s">
        <v>25</v>
      </c>
      <c r="E44" s="3" t="s">
        <v>152</v>
      </c>
      <c r="F44" s="3" t="str">
        <f aca="false">IF(E44="","","https://"&amp;E44)</f>
        <v>https://ncell.axiata.com</v>
      </c>
      <c r="G44" s="3" t="str">
        <f aca="false">IF(E44="","","https://www.google.com/s2/favicons?domain="&amp;E44&amp;"&amp;sz=128")</f>
        <v>https://www.google.com/s2/favicons?domain=ncell.axiata.com&amp;sz=128</v>
      </c>
      <c r="H44" s="3" t="str">
        <f aca="false">"https://www.linkedin.com/search/results/companies/?keywords="&amp;SUBSTITUTE(B44," ","%20")</f>
        <v>https://www.linkedin.com/search/results/companies/?keywords=Ncell</v>
      </c>
      <c r="I44" s="3" t="str">
        <f aca="false">"https://www.linkedin.com/search/results/people/?keywords=HR%20recruiter%20"&amp;SUBSTITUTE(B44," ","%20")</f>
        <v>https://www.linkedin.com/search/results/people/?keywords=HR%20recruiter%20Ncell</v>
      </c>
      <c r="J44" s="4"/>
      <c r="K44" s="4"/>
      <c r="L44" s="4"/>
      <c r="M44" s="4"/>
      <c r="N44" s="5" t="s">
        <v>153</v>
      </c>
      <c r="O44" s="3" t="s">
        <v>20</v>
      </c>
    </row>
    <row r="45" customFormat="false" ht="15" hidden="false" customHeight="false" outlineLevel="0" collapsed="false">
      <c r="A45" s="3" t="n">
        <v>44</v>
      </c>
      <c r="B45" s="3" t="s">
        <v>154</v>
      </c>
      <c r="C45" s="3" t="s">
        <v>148</v>
      </c>
      <c r="D45" s="3" t="s">
        <v>25</v>
      </c>
      <c r="E45" s="3" t="s">
        <v>155</v>
      </c>
      <c r="F45" s="3" t="str">
        <f aca="false">IF(E45="","","https://"&amp;E45)</f>
        <v>https://smartcell.com.np</v>
      </c>
      <c r="G45" s="3" t="str">
        <f aca="false">IF(E45="","","https://www.google.com/s2/favicons?domain="&amp;E45&amp;"&amp;sz=128")</f>
        <v>https://www.google.com/s2/favicons?domain=smartcell.com.np&amp;sz=128</v>
      </c>
      <c r="H45" s="3" t="str">
        <f aca="false">"https://www.linkedin.com/search/results/companies/?keywords="&amp;SUBSTITUTE(B45," ","%20")</f>
        <v>https://www.linkedin.com/search/results/companies/?keywords=Smart%20Telecom</v>
      </c>
      <c r="I45" s="3" t="str">
        <f aca="false">"https://www.linkedin.com/search/results/people/?keywords=HR%20recruiter%20"&amp;SUBSTITUTE(B45," ","%20")</f>
        <v>https://www.linkedin.com/search/results/people/?keywords=HR%20recruiter%20Smart%20Telecom</v>
      </c>
      <c r="J45" s="4"/>
      <c r="K45" s="4"/>
      <c r="L45" s="4"/>
      <c r="M45" s="4"/>
      <c r="N45" s="5" t="s">
        <v>156</v>
      </c>
      <c r="O45" s="3" t="s">
        <v>20</v>
      </c>
    </row>
    <row r="46" customFormat="false" ht="15" hidden="false" customHeight="false" outlineLevel="0" collapsed="false">
      <c r="A46" s="3" t="n">
        <v>45</v>
      </c>
      <c r="B46" s="3" t="s">
        <v>157</v>
      </c>
      <c r="C46" s="3" t="s">
        <v>148</v>
      </c>
      <c r="D46" s="3" t="s">
        <v>17</v>
      </c>
      <c r="E46" s="3" t="s">
        <v>158</v>
      </c>
      <c r="F46" s="3" t="str">
        <f aca="false">IF(E46="","","https://"&amp;E46)</f>
        <v>https://worldlink.com.np</v>
      </c>
      <c r="G46" s="3" t="str">
        <f aca="false">IF(E46="","","https://www.google.com/s2/favicons?domain="&amp;E46&amp;"&amp;sz=128")</f>
        <v>https://www.google.com/s2/favicons?domain=worldlink.com.np&amp;sz=128</v>
      </c>
      <c r="H46" s="3" t="str">
        <f aca="false">"https://www.linkedin.com/search/results/companies/?keywords="&amp;SUBSTITUTE(B46," ","%20")</f>
        <v>https://www.linkedin.com/search/results/companies/?keywords=WorldLink%20Communications</v>
      </c>
      <c r="I46" s="3" t="str">
        <f aca="false">"https://www.linkedin.com/search/results/people/?keywords=HR%20recruiter%20"&amp;SUBSTITUTE(B46," ","%20")</f>
        <v>https://www.linkedin.com/search/results/people/?keywords=HR%20recruiter%20WorldLink%20Communications</v>
      </c>
      <c r="J46" s="4"/>
      <c r="K46" s="4"/>
      <c r="L46" s="4"/>
      <c r="M46" s="4"/>
      <c r="N46" s="5" t="s">
        <v>159</v>
      </c>
      <c r="O46" s="3" t="s">
        <v>20</v>
      </c>
    </row>
    <row r="47" customFormat="false" ht="15" hidden="false" customHeight="false" outlineLevel="0" collapsed="false">
      <c r="A47" s="3" t="n">
        <v>46</v>
      </c>
      <c r="B47" s="3" t="s">
        <v>160</v>
      </c>
      <c r="C47" s="3" t="s">
        <v>148</v>
      </c>
      <c r="D47" s="3" t="s">
        <v>25</v>
      </c>
      <c r="E47" s="3" t="s">
        <v>161</v>
      </c>
      <c r="F47" s="3" t="str">
        <f aca="false">IF(E47="","","https://"&amp;E47)</f>
        <v>https://subisu.net.np</v>
      </c>
      <c r="G47" s="3" t="str">
        <f aca="false">IF(E47="","","https://www.google.com/s2/favicons?domain="&amp;E47&amp;"&amp;sz=128")</f>
        <v>https://www.google.com/s2/favicons?domain=subisu.net.np&amp;sz=128</v>
      </c>
      <c r="H47" s="3" t="str">
        <f aca="false">"https://www.linkedin.com/search/results/companies/?keywords="&amp;SUBSTITUTE(B47," ","%20")</f>
        <v>https://www.linkedin.com/search/results/companies/?keywords=Subisu</v>
      </c>
      <c r="I47" s="3" t="str">
        <f aca="false">"https://www.linkedin.com/search/results/people/?keywords=HR%20recruiter%20"&amp;SUBSTITUTE(B47," ","%20")</f>
        <v>https://www.linkedin.com/search/results/people/?keywords=HR%20recruiter%20Subisu</v>
      </c>
      <c r="J47" s="4"/>
      <c r="K47" s="4"/>
      <c r="L47" s="4"/>
      <c r="M47" s="4"/>
      <c r="N47" s="5" t="s">
        <v>162</v>
      </c>
      <c r="O47" s="3" t="s">
        <v>20</v>
      </c>
    </row>
    <row r="48" customFormat="false" ht="15" hidden="false" customHeight="false" outlineLevel="0" collapsed="false">
      <c r="A48" s="3" t="n">
        <v>47</v>
      </c>
      <c r="B48" s="3" t="s">
        <v>163</v>
      </c>
      <c r="C48" s="3" t="s">
        <v>148</v>
      </c>
      <c r="D48" s="3" t="s">
        <v>25</v>
      </c>
      <c r="E48" s="3" t="s">
        <v>164</v>
      </c>
      <c r="F48" s="3" t="str">
        <f aca="false">IF(E48="","","https://"&amp;E48)</f>
        <v>https://vianet.com.np</v>
      </c>
      <c r="G48" s="3" t="str">
        <f aca="false">IF(E48="","","https://www.google.com/s2/favicons?domain="&amp;E48&amp;"&amp;sz=128")</f>
        <v>https://www.google.com/s2/favicons?domain=vianet.com.np&amp;sz=128</v>
      </c>
      <c r="H48" s="3" t="str">
        <f aca="false">"https://www.linkedin.com/search/results/companies/?keywords="&amp;SUBSTITUTE(B48," ","%20")</f>
        <v>https://www.linkedin.com/search/results/companies/?keywords=Vianet%20Communications</v>
      </c>
      <c r="I48" s="3" t="str">
        <f aca="false">"https://www.linkedin.com/search/results/people/?keywords=HR%20recruiter%20"&amp;SUBSTITUTE(B48," ","%20")</f>
        <v>https://www.linkedin.com/search/results/people/?keywords=HR%20recruiter%20Vianet%20Communications</v>
      </c>
      <c r="J48" s="4"/>
      <c r="K48" s="4"/>
      <c r="L48" s="4"/>
      <c r="M48" s="4"/>
      <c r="N48" s="5" t="s">
        <v>165</v>
      </c>
      <c r="O48" s="3" t="s">
        <v>20</v>
      </c>
    </row>
    <row r="49" customFormat="false" ht="15" hidden="false" customHeight="false" outlineLevel="0" collapsed="false">
      <c r="A49" s="3" t="n">
        <v>48</v>
      </c>
      <c r="B49" s="3" t="s">
        <v>166</v>
      </c>
      <c r="C49" s="3" t="s">
        <v>148</v>
      </c>
      <c r="D49" s="3" t="s">
        <v>25</v>
      </c>
      <c r="E49" s="3" t="s">
        <v>167</v>
      </c>
      <c r="F49" s="3" t="str">
        <f aca="false">IF(E49="","","https://"&amp;E49)</f>
        <v>https://classictech.com.np</v>
      </c>
      <c r="G49" s="3" t="str">
        <f aca="false">IF(E49="","","https://www.google.com/s2/favicons?domain="&amp;E49&amp;"&amp;sz=128")</f>
        <v>https://www.google.com/s2/favicons?domain=classictech.com.np&amp;sz=128</v>
      </c>
      <c r="H49" s="3" t="str">
        <f aca="false">"https://www.linkedin.com/search/results/companies/?keywords="&amp;SUBSTITUTE(B49," ","%20")</f>
        <v>https://www.linkedin.com/search/results/companies/?keywords=Classic%20Tech</v>
      </c>
      <c r="I49" s="3" t="str">
        <f aca="false">"https://www.linkedin.com/search/results/people/?keywords=HR%20recruiter%20"&amp;SUBSTITUTE(B49," ","%20")</f>
        <v>https://www.linkedin.com/search/results/people/?keywords=HR%20recruiter%20Classic%20Tech</v>
      </c>
      <c r="J49" s="4"/>
      <c r="K49" s="4"/>
      <c r="L49" s="4"/>
      <c r="M49" s="4"/>
      <c r="N49" s="5" t="s">
        <v>168</v>
      </c>
      <c r="O49" s="3" t="s">
        <v>20</v>
      </c>
    </row>
    <row r="50" customFormat="false" ht="15" hidden="false" customHeight="false" outlineLevel="0" collapsed="false">
      <c r="A50" s="3" t="n">
        <v>49</v>
      </c>
      <c r="B50" s="3" t="s">
        <v>169</v>
      </c>
      <c r="C50" s="3" t="s">
        <v>148</v>
      </c>
      <c r="D50" s="3" t="s">
        <v>25</v>
      </c>
      <c r="E50" s="3" t="s">
        <v>170</v>
      </c>
      <c r="F50" s="3" t="str">
        <f aca="false">IF(E50="","","https://"&amp;E50)</f>
        <v>https://dishhome.com.np</v>
      </c>
      <c r="G50" s="3" t="str">
        <f aca="false">IF(E50="","","https://www.google.com/s2/favicons?domain="&amp;E50&amp;"&amp;sz=128")</f>
        <v>https://www.google.com/s2/favicons?domain=dishhome.com.np&amp;sz=128</v>
      </c>
      <c r="H50" s="3" t="str">
        <f aca="false">"https://www.linkedin.com/search/results/companies/?keywords="&amp;SUBSTITUTE(B50," ","%20")</f>
        <v>https://www.linkedin.com/search/results/companies/?keywords=Dish%20Home</v>
      </c>
      <c r="I50" s="3" t="str">
        <f aca="false">"https://www.linkedin.com/search/results/people/?keywords=HR%20recruiter%20"&amp;SUBSTITUTE(B50," ","%20")</f>
        <v>https://www.linkedin.com/search/results/people/?keywords=HR%20recruiter%20Dish%20Home</v>
      </c>
      <c r="J50" s="4"/>
      <c r="K50" s="4"/>
      <c r="L50" s="4"/>
      <c r="M50" s="4"/>
      <c r="N50" s="5" t="s">
        <v>171</v>
      </c>
      <c r="O50" s="3" t="s">
        <v>20</v>
      </c>
    </row>
    <row r="51" customFormat="false" ht="15" hidden="false" customHeight="false" outlineLevel="0" collapsed="false">
      <c r="A51" s="3" t="n">
        <v>50</v>
      </c>
      <c r="B51" s="3" t="s">
        <v>172</v>
      </c>
      <c r="C51" s="3" t="s">
        <v>173</v>
      </c>
      <c r="D51" s="3" t="s">
        <v>25</v>
      </c>
      <c r="E51" s="3" t="s">
        <v>174</v>
      </c>
      <c r="F51" s="3" t="str">
        <f aca="false">IF(E51="","","https://"&amp;E51)</f>
        <v>https://nabilbank.com</v>
      </c>
      <c r="G51" s="3" t="str">
        <f aca="false">IF(E51="","","https://www.google.com/s2/favicons?domain="&amp;E51&amp;"&amp;sz=128")</f>
        <v>https://www.google.com/s2/favicons?domain=nabilbank.com&amp;sz=128</v>
      </c>
      <c r="H51" s="3" t="str">
        <f aca="false">"https://www.linkedin.com/search/results/companies/?keywords="&amp;SUBSTITUTE(B51," ","%20")</f>
        <v>https://www.linkedin.com/search/results/companies/?keywords=Nabil%20Bank</v>
      </c>
      <c r="I51" s="3" t="str">
        <f aca="false">"https://www.linkedin.com/search/results/people/?keywords=HR%20recruiter%20"&amp;SUBSTITUTE(B51," ","%20")</f>
        <v>https://www.linkedin.com/search/results/people/?keywords=HR%20recruiter%20Nabil%20Bank</v>
      </c>
      <c r="J51" s="4"/>
      <c r="K51" s="4"/>
      <c r="L51" s="4"/>
      <c r="M51" s="4"/>
      <c r="N51" s="5" t="s">
        <v>175</v>
      </c>
      <c r="O51" s="3" t="s">
        <v>20</v>
      </c>
    </row>
    <row r="52" customFormat="false" ht="15" hidden="false" customHeight="false" outlineLevel="0" collapsed="false">
      <c r="A52" s="3" t="n">
        <v>51</v>
      </c>
      <c r="B52" s="3" t="s">
        <v>176</v>
      </c>
      <c r="C52" s="3" t="s">
        <v>173</v>
      </c>
      <c r="D52" s="3" t="s">
        <v>25</v>
      </c>
      <c r="E52" s="3" t="s">
        <v>177</v>
      </c>
      <c r="F52" s="3" t="str">
        <f aca="false">IF(E52="","","https://"&amp;E52)</f>
        <v>https://nimb.com.np</v>
      </c>
      <c r="G52" s="3" t="str">
        <f aca="false">IF(E52="","","https://www.google.com/s2/favicons?domain="&amp;E52&amp;"&amp;sz=128")</f>
        <v>https://www.google.com/s2/favicons?domain=nimb.com.np&amp;sz=128</v>
      </c>
      <c r="H52" s="3" t="str">
        <f aca="false">"https://www.linkedin.com/search/results/companies/?keywords="&amp;SUBSTITUTE(B52," ","%20")</f>
        <v>https://www.linkedin.com/search/results/companies/?keywords=Nepal%20Investment%20Mega%20Bank</v>
      </c>
      <c r="I52" s="3" t="str">
        <f aca="false">"https://www.linkedin.com/search/results/people/?keywords=HR%20recruiter%20"&amp;SUBSTITUTE(B52," ","%20")</f>
        <v>https://www.linkedin.com/search/results/people/?keywords=HR%20recruiter%20Nepal%20Investment%20Mega%20Bank</v>
      </c>
      <c r="J52" s="4"/>
      <c r="K52" s="4"/>
      <c r="L52" s="4"/>
      <c r="M52" s="4"/>
      <c r="N52" s="5" t="s">
        <v>178</v>
      </c>
      <c r="O52" s="3" t="s">
        <v>20</v>
      </c>
    </row>
    <row r="53" customFormat="false" ht="15" hidden="false" customHeight="false" outlineLevel="0" collapsed="false">
      <c r="A53" s="3" t="n">
        <v>52</v>
      </c>
      <c r="B53" s="3" t="s">
        <v>179</v>
      </c>
      <c r="C53" s="3" t="s">
        <v>173</v>
      </c>
      <c r="D53" s="3" t="s">
        <v>25</v>
      </c>
      <c r="E53" s="3" t="s">
        <v>180</v>
      </c>
      <c r="F53" s="3" t="str">
        <f aca="false">IF(E53="","","https://"&amp;E53)</f>
        <v>https://globalimebank.com</v>
      </c>
      <c r="G53" s="3" t="str">
        <f aca="false">IF(E53="","","https://www.google.com/s2/favicons?domain="&amp;E53&amp;"&amp;sz=128")</f>
        <v>https://www.google.com/s2/favicons?domain=globalimebank.com&amp;sz=128</v>
      </c>
      <c r="H53" s="3" t="str">
        <f aca="false">"https://www.linkedin.com/search/results/companies/?keywords="&amp;SUBSTITUTE(B53," ","%20")</f>
        <v>https://www.linkedin.com/search/results/companies/?keywords=Global%20IME%20Bank</v>
      </c>
      <c r="I53" s="3" t="str">
        <f aca="false">"https://www.linkedin.com/search/results/people/?keywords=HR%20recruiter%20"&amp;SUBSTITUTE(B53," ","%20")</f>
        <v>https://www.linkedin.com/search/results/people/?keywords=HR%20recruiter%20Global%20IME%20Bank</v>
      </c>
      <c r="J53" s="4"/>
      <c r="K53" s="4"/>
      <c r="L53" s="4"/>
      <c r="M53" s="4"/>
      <c r="N53" s="5" t="s">
        <v>181</v>
      </c>
      <c r="O53" s="3" t="s">
        <v>20</v>
      </c>
    </row>
    <row r="54" customFormat="false" ht="15" hidden="false" customHeight="false" outlineLevel="0" collapsed="false">
      <c r="A54" s="3" t="n">
        <v>53</v>
      </c>
      <c r="B54" s="3" t="s">
        <v>182</v>
      </c>
      <c r="C54" s="3" t="s">
        <v>173</v>
      </c>
      <c r="D54" s="3" t="s">
        <v>25</v>
      </c>
      <c r="E54" s="3" t="s">
        <v>183</v>
      </c>
      <c r="F54" s="3" t="str">
        <f aca="false">IF(E54="","","https://"&amp;E54)</f>
        <v>https://nicasiabank.com</v>
      </c>
      <c r="G54" s="3" t="str">
        <f aca="false">IF(E54="","","https://www.google.com/s2/favicons?domain="&amp;E54&amp;"&amp;sz=128")</f>
        <v>https://www.google.com/s2/favicons?domain=nicasiabank.com&amp;sz=128</v>
      </c>
      <c r="H54" s="3" t="str">
        <f aca="false">"https://www.linkedin.com/search/results/companies/?keywords="&amp;SUBSTITUTE(B54," ","%20")</f>
        <v>https://www.linkedin.com/search/results/companies/?keywords=NIC%20Asia%20Bank</v>
      </c>
      <c r="I54" s="3" t="str">
        <f aca="false">"https://www.linkedin.com/search/results/people/?keywords=HR%20recruiter%20"&amp;SUBSTITUTE(B54," ","%20")</f>
        <v>https://www.linkedin.com/search/results/people/?keywords=HR%20recruiter%20NIC%20Asia%20Bank</v>
      </c>
      <c r="J54" s="4"/>
      <c r="K54" s="4"/>
      <c r="L54" s="4"/>
      <c r="M54" s="4"/>
      <c r="N54" s="5" t="s">
        <v>184</v>
      </c>
      <c r="O54" s="3" t="s">
        <v>20</v>
      </c>
    </row>
    <row r="55" customFormat="false" ht="15" hidden="false" customHeight="false" outlineLevel="0" collapsed="false">
      <c r="A55" s="3" t="n">
        <v>54</v>
      </c>
      <c r="B55" s="3" t="s">
        <v>185</v>
      </c>
      <c r="C55" s="3" t="s">
        <v>173</v>
      </c>
      <c r="D55" s="3" t="s">
        <v>25</v>
      </c>
      <c r="E55" s="3" t="s">
        <v>186</v>
      </c>
      <c r="F55" s="3" t="str">
        <f aca="false">IF(E55="","","https://"&amp;E55)</f>
        <v>https://sc.com/np</v>
      </c>
      <c r="G55" s="3" t="str">
        <f aca="false">IF(E55="","","https://www.google.com/s2/favicons?domain="&amp;E55&amp;"&amp;sz=128")</f>
        <v>https://www.google.com/s2/favicons?domain=sc.com/np&amp;sz=128</v>
      </c>
      <c r="H55" s="3" t="str">
        <f aca="false">"https://www.linkedin.com/search/results/companies/?keywords="&amp;SUBSTITUTE(B55," ","%20")</f>
        <v>https://www.linkedin.com/search/results/companies/?keywords=Standard%20Chartered%20Bank%20Nepal</v>
      </c>
      <c r="I55" s="3" t="str">
        <f aca="false">"https://www.linkedin.com/search/results/people/?keywords=HR%20recruiter%20"&amp;SUBSTITUTE(B55," ","%20")</f>
        <v>https://www.linkedin.com/search/results/people/?keywords=HR%20recruiter%20Standard%20Chartered%20Bank%20Nepal</v>
      </c>
      <c r="J55" s="4"/>
      <c r="K55" s="4"/>
      <c r="L55" s="4"/>
      <c r="M55" s="4"/>
      <c r="N55" s="5" t="s">
        <v>187</v>
      </c>
      <c r="O55" s="3" t="s">
        <v>20</v>
      </c>
    </row>
    <row r="56" customFormat="false" ht="15" hidden="false" customHeight="false" outlineLevel="0" collapsed="false">
      <c r="A56" s="3" t="n">
        <v>55</v>
      </c>
      <c r="B56" s="3" t="s">
        <v>188</v>
      </c>
      <c r="C56" s="3" t="s">
        <v>173</v>
      </c>
      <c r="D56" s="3" t="s">
        <v>25</v>
      </c>
      <c r="E56" s="3" t="s">
        <v>189</v>
      </c>
      <c r="F56" s="3" t="str">
        <f aca="false">IF(E56="","","https://"&amp;E56)</f>
        <v>https://hbl.com.np</v>
      </c>
      <c r="G56" s="3" t="str">
        <f aca="false">IF(E56="","","https://www.google.com/s2/favicons?domain="&amp;E56&amp;"&amp;sz=128")</f>
        <v>https://www.google.com/s2/favicons?domain=hbl.com.np&amp;sz=128</v>
      </c>
      <c r="H56" s="3" t="str">
        <f aca="false">"https://www.linkedin.com/search/results/companies/?keywords="&amp;SUBSTITUTE(B56," ","%20")</f>
        <v>https://www.linkedin.com/search/results/companies/?keywords=Himalayan%20Bank</v>
      </c>
      <c r="I56" s="3" t="str">
        <f aca="false">"https://www.linkedin.com/search/results/people/?keywords=HR%20recruiter%20"&amp;SUBSTITUTE(B56," ","%20")</f>
        <v>https://www.linkedin.com/search/results/people/?keywords=HR%20recruiter%20Himalayan%20Bank</v>
      </c>
      <c r="J56" s="4"/>
      <c r="K56" s="4"/>
      <c r="L56" s="4"/>
      <c r="M56" s="4"/>
      <c r="N56" s="5" t="s">
        <v>190</v>
      </c>
      <c r="O56" s="3" t="s">
        <v>20</v>
      </c>
    </row>
    <row r="57" customFormat="false" ht="15" hidden="false" customHeight="false" outlineLevel="0" collapsed="false">
      <c r="A57" s="3" t="n">
        <v>56</v>
      </c>
      <c r="B57" s="3" t="s">
        <v>191</v>
      </c>
      <c r="C57" s="3" t="s">
        <v>173</v>
      </c>
      <c r="D57" s="3" t="s">
        <v>25</v>
      </c>
      <c r="E57" s="3" t="s">
        <v>192</v>
      </c>
      <c r="F57" s="3" t="str">
        <f aca="false">IF(E57="","","https://"&amp;E57)</f>
        <v>https://everestbankltd.com</v>
      </c>
      <c r="G57" s="3" t="str">
        <f aca="false">IF(E57="","","https://www.google.com/s2/favicons?domain="&amp;E57&amp;"&amp;sz=128")</f>
        <v>https://www.google.com/s2/favicons?domain=everestbankltd.com&amp;sz=128</v>
      </c>
      <c r="H57" s="3" t="str">
        <f aca="false">"https://www.linkedin.com/search/results/companies/?keywords="&amp;SUBSTITUTE(B57," ","%20")</f>
        <v>https://www.linkedin.com/search/results/companies/?keywords=Everest%20Bank</v>
      </c>
      <c r="I57" s="3" t="str">
        <f aca="false">"https://www.linkedin.com/search/results/people/?keywords=HR%20recruiter%20"&amp;SUBSTITUTE(B57," ","%20")</f>
        <v>https://www.linkedin.com/search/results/people/?keywords=HR%20recruiter%20Everest%20Bank</v>
      </c>
      <c r="J57" s="4"/>
      <c r="K57" s="4"/>
      <c r="L57" s="4"/>
      <c r="M57" s="4"/>
      <c r="N57" s="5" t="s">
        <v>193</v>
      </c>
      <c r="O57" s="3" t="s">
        <v>20</v>
      </c>
    </row>
    <row r="58" customFormat="false" ht="15" hidden="false" customHeight="false" outlineLevel="0" collapsed="false">
      <c r="A58" s="3" t="n">
        <v>57</v>
      </c>
      <c r="B58" s="3" t="s">
        <v>194</v>
      </c>
      <c r="C58" s="3" t="s">
        <v>173</v>
      </c>
      <c r="D58" s="3" t="s">
        <v>25</v>
      </c>
      <c r="E58" s="3" t="s">
        <v>195</v>
      </c>
      <c r="F58" s="3" t="str">
        <f aca="false">IF(E58="","","https://"&amp;E58)</f>
        <v>https://prabhubank.com</v>
      </c>
      <c r="G58" s="3" t="str">
        <f aca="false">IF(E58="","","https://www.google.com/s2/favicons?domain="&amp;E58&amp;"&amp;sz=128")</f>
        <v>https://www.google.com/s2/favicons?domain=prabhubank.com&amp;sz=128</v>
      </c>
      <c r="H58" s="3" t="str">
        <f aca="false">"https://www.linkedin.com/search/results/companies/?keywords="&amp;SUBSTITUTE(B58," ","%20")</f>
        <v>https://www.linkedin.com/search/results/companies/?keywords=Prabhu%20Bank</v>
      </c>
      <c r="I58" s="3" t="str">
        <f aca="false">"https://www.linkedin.com/search/results/people/?keywords=HR%20recruiter%20"&amp;SUBSTITUTE(B58," ","%20")</f>
        <v>https://www.linkedin.com/search/results/people/?keywords=HR%20recruiter%20Prabhu%20Bank</v>
      </c>
      <c r="J58" s="4"/>
      <c r="K58" s="4"/>
      <c r="L58" s="4"/>
      <c r="M58" s="4"/>
      <c r="N58" s="5" t="s">
        <v>196</v>
      </c>
      <c r="O58" s="3" t="s">
        <v>20</v>
      </c>
    </row>
    <row r="59" customFormat="false" ht="15" hidden="false" customHeight="false" outlineLevel="0" collapsed="false">
      <c r="A59" s="3" t="n">
        <v>58</v>
      </c>
      <c r="B59" s="3" t="s">
        <v>197</v>
      </c>
      <c r="C59" s="3" t="s">
        <v>173</v>
      </c>
      <c r="D59" s="3" t="s">
        <v>198</v>
      </c>
      <c r="E59" s="3" t="s">
        <v>199</v>
      </c>
      <c r="F59" s="3" t="str">
        <f aca="false">IF(E59="","","https://"&amp;E59)</f>
        <v>https://machbank.com</v>
      </c>
      <c r="G59" s="3" t="str">
        <f aca="false">IF(E59="","","https://www.google.com/s2/favicons?domain="&amp;E59&amp;"&amp;sz=128")</f>
        <v>https://www.google.com/s2/favicons?domain=machbank.com&amp;sz=128</v>
      </c>
      <c r="H59" s="3" t="str">
        <f aca="false">"https://www.linkedin.com/search/results/companies/?keywords="&amp;SUBSTITUTE(B59," ","%20")</f>
        <v>https://www.linkedin.com/search/results/companies/?keywords=Machhapuchchhre%20Bank</v>
      </c>
      <c r="I59" s="3" t="str">
        <f aca="false">"https://www.linkedin.com/search/results/people/?keywords=HR%20recruiter%20"&amp;SUBSTITUTE(B59," ","%20")</f>
        <v>https://www.linkedin.com/search/results/people/?keywords=HR%20recruiter%20Machhapuchchhre%20Bank</v>
      </c>
      <c r="J59" s="4"/>
      <c r="K59" s="4"/>
      <c r="L59" s="4"/>
      <c r="M59" s="4"/>
      <c r="N59" s="5" t="s">
        <v>200</v>
      </c>
      <c r="O59" s="3" t="s">
        <v>20</v>
      </c>
    </row>
    <row r="60" customFormat="false" ht="15" hidden="false" customHeight="false" outlineLevel="0" collapsed="false">
      <c r="A60" s="3" t="n">
        <v>59</v>
      </c>
      <c r="B60" s="3" t="s">
        <v>201</v>
      </c>
      <c r="C60" s="3" t="s">
        <v>173</v>
      </c>
      <c r="D60" s="3" t="s">
        <v>25</v>
      </c>
      <c r="E60" s="3" t="s">
        <v>202</v>
      </c>
      <c r="F60" s="3" t="str">
        <f aca="false">IF(E60="","","https://"&amp;E60)</f>
        <v>https://kumaribank.com</v>
      </c>
      <c r="G60" s="3" t="str">
        <f aca="false">IF(E60="","","https://www.google.com/s2/favicons?domain="&amp;E60&amp;"&amp;sz=128")</f>
        <v>https://www.google.com/s2/favicons?domain=kumaribank.com&amp;sz=128</v>
      </c>
      <c r="H60" s="3" t="str">
        <f aca="false">"https://www.linkedin.com/search/results/companies/?keywords="&amp;SUBSTITUTE(B60," ","%20")</f>
        <v>https://www.linkedin.com/search/results/companies/?keywords=Kumari%20Bank</v>
      </c>
      <c r="I60" s="3" t="str">
        <f aca="false">"https://www.linkedin.com/search/results/people/?keywords=HR%20recruiter%20"&amp;SUBSTITUTE(B60," ","%20")</f>
        <v>https://www.linkedin.com/search/results/people/?keywords=HR%20recruiter%20Kumari%20Bank</v>
      </c>
      <c r="J60" s="4"/>
      <c r="K60" s="4"/>
      <c r="L60" s="4"/>
      <c r="M60" s="4"/>
      <c r="N60" s="5" t="s">
        <v>193</v>
      </c>
      <c r="O60" s="3" t="s">
        <v>20</v>
      </c>
    </row>
    <row r="61" customFormat="false" ht="15" hidden="false" customHeight="false" outlineLevel="0" collapsed="false">
      <c r="A61" s="3" t="n">
        <v>60</v>
      </c>
      <c r="B61" s="3" t="s">
        <v>203</v>
      </c>
      <c r="C61" s="3" t="s">
        <v>173</v>
      </c>
      <c r="D61" s="3" t="s">
        <v>25</v>
      </c>
      <c r="E61" s="3" t="s">
        <v>204</v>
      </c>
      <c r="F61" s="3" t="str">
        <f aca="false">IF(E61="","","https://"&amp;E61)</f>
        <v>https://laxmisunrise.com</v>
      </c>
      <c r="G61" s="3" t="str">
        <f aca="false">IF(E61="","","https://www.google.com/s2/favicons?domain="&amp;E61&amp;"&amp;sz=128")</f>
        <v>https://www.google.com/s2/favicons?domain=laxmisunrise.com&amp;sz=128</v>
      </c>
      <c r="H61" s="3" t="str">
        <f aca="false">"https://www.linkedin.com/search/results/companies/?keywords="&amp;SUBSTITUTE(B61," ","%20")</f>
        <v>https://www.linkedin.com/search/results/companies/?keywords=Laxmi%20Sunrise%20Bank</v>
      </c>
      <c r="I61" s="3" t="str">
        <f aca="false">"https://www.linkedin.com/search/results/people/?keywords=HR%20recruiter%20"&amp;SUBSTITUTE(B61," ","%20")</f>
        <v>https://www.linkedin.com/search/results/people/?keywords=HR%20recruiter%20Laxmi%20Sunrise%20Bank</v>
      </c>
      <c r="J61" s="4"/>
      <c r="K61" s="4"/>
      <c r="L61" s="4"/>
      <c r="M61" s="4"/>
      <c r="N61" s="5" t="s">
        <v>205</v>
      </c>
      <c r="O61" s="3" t="s">
        <v>20</v>
      </c>
    </row>
    <row r="62" customFormat="false" ht="15" hidden="false" customHeight="false" outlineLevel="0" collapsed="false">
      <c r="A62" s="3" t="n">
        <v>61</v>
      </c>
      <c r="B62" s="3" t="s">
        <v>206</v>
      </c>
      <c r="C62" s="3" t="s">
        <v>173</v>
      </c>
      <c r="D62" s="3" t="s">
        <v>25</v>
      </c>
      <c r="E62" s="3" t="s">
        <v>207</v>
      </c>
      <c r="F62" s="3" t="str">
        <f aca="false">IF(E62="","","https://"&amp;E62)</f>
        <v>https://sanimabank.com</v>
      </c>
      <c r="G62" s="3" t="str">
        <f aca="false">IF(E62="","","https://www.google.com/s2/favicons?domain="&amp;E62&amp;"&amp;sz=128")</f>
        <v>https://www.google.com/s2/favicons?domain=sanimabank.com&amp;sz=128</v>
      </c>
      <c r="H62" s="3" t="str">
        <f aca="false">"https://www.linkedin.com/search/results/companies/?keywords="&amp;SUBSTITUTE(B62," ","%20")</f>
        <v>https://www.linkedin.com/search/results/companies/?keywords=Sanima%20Bank</v>
      </c>
      <c r="I62" s="3" t="str">
        <f aca="false">"https://www.linkedin.com/search/results/people/?keywords=HR%20recruiter%20"&amp;SUBSTITUTE(B62," ","%20")</f>
        <v>https://www.linkedin.com/search/results/people/?keywords=HR%20recruiter%20Sanima%20Bank</v>
      </c>
      <c r="J62" s="4"/>
      <c r="K62" s="4"/>
      <c r="L62" s="4"/>
      <c r="M62" s="4"/>
      <c r="N62" s="5" t="s">
        <v>193</v>
      </c>
      <c r="O62" s="3" t="s">
        <v>20</v>
      </c>
    </row>
    <row r="63" customFormat="false" ht="15" hidden="false" customHeight="false" outlineLevel="0" collapsed="false">
      <c r="A63" s="3" t="n">
        <v>62</v>
      </c>
      <c r="B63" s="3" t="s">
        <v>208</v>
      </c>
      <c r="C63" s="3" t="s">
        <v>173</v>
      </c>
      <c r="D63" s="3" t="s">
        <v>25</v>
      </c>
      <c r="E63" s="3" t="s">
        <v>209</v>
      </c>
      <c r="F63" s="3" t="str">
        <f aca="false">IF(E63="","","https://"&amp;E63)</f>
        <v>https://siddharthabank.com</v>
      </c>
      <c r="G63" s="3" t="str">
        <f aca="false">IF(E63="","","https://www.google.com/s2/favicons?domain="&amp;E63&amp;"&amp;sz=128")</f>
        <v>https://www.google.com/s2/favicons?domain=siddharthabank.com&amp;sz=128</v>
      </c>
      <c r="H63" s="3" t="str">
        <f aca="false">"https://www.linkedin.com/search/results/companies/?keywords="&amp;SUBSTITUTE(B63," ","%20")</f>
        <v>https://www.linkedin.com/search/results/companies/?keywords=Siddhartha%20Bank</v>
      </c>
      <c r="I63" s="3" t="str">
        <f aca="false">"https://www.linkedin.com/search/results/people/?keywords=HR%20recruiter%20"&amp;SUBSTITUTE(B63," ","%20")</f>
        <v>https://www.linkedin.com/search/results/people/?keywords=HR%20recruiter%20Siddhartha%20Bank</v>
      </c>
      <c r="J63" s="4"/>
      <c r="K63" s="4"/>
      <c r="L63" s="4"/>
      <c r="M63" s="4"/>
      <c r="N63" s="5" t="s">
        <v>193</v>
      </c>
      <c r="O63" s="3" t="s">
        <v>20</v>
      </c>
    </row>
    <row r="64" customFormat="false" ht="15" hidden="false" customHeight="false" outlineLevel="0" collapsed="false">
      <c r="A64" s="3" t="n">
        <v>63</v>
      </c>
      <c r="B64" s="3" t="s">
        <v>210</v>
      </c>
      <c r="C64" s="3" t="s">
        <v>173</v>
      </c>
      <c r="D64" s="3" t="s">
        <v>25</v>
      </c>
      <c r="E64" s="3" t="s">
        <v>211</v>
      </c>
      <c r="F64" s="3" t="str">
        <f aca="false">IF(E64="","","https://"&amp;E64)</f>
        <v>https://nmb.com.np</v>
      </c>
      <c r="G64" s="3" t="str">
        <f aca="false">IF(E64="","","https://www.google.com/s2/favicons?domain="&amp;E64&amp;"&amp;sz=128")</f>
        <v>https://www.google.com/s2/favicons?domain=nmb.com.np&amp;sz=128</v>
      </c>
      <c r="H64" s="3" t="str">
        <f aca="false">"https://www.linkedin.com/search/results/companies/?keywords="&amp;SUBSTITUTE(B64," ","%20")</f>
        <v>https://www.linkedin.com/search/results/companies/?keywords=NMB%20Bank</v>
      </c>
      <c r="I64" s="3" t="str">
        <f aca="false">"https://www.linkedin.com/search/results/people/?keywords=HR%20recruiter%20"&amp;SUBSTITUTE(B64," ","%20")</f>
        <v>https://www.linkedin.com/search/results/people/?keywords=HR%20recruiter%20NMB%20Bank</v>
      </c>
      <c r="J64" s="4"/>
      <c r="K64" s="4"/>
      <c r="L64" s="4"/>
      <c r="M64" s="4"/>
      <c r="N64" s="5" t="s">
        <v>193</v>
      </c>
      <c r="O64" s="3" t="s">
        <v>20</v>
      </c>
    </row>
    <row r="65" customFormat="false" ht="15" hidden="false" customHeight="false" outlineLevel="0" collapsed="false">
      <c r="A65" s="3" t="n">
        <v>64</v>
      </c>
      <c r="B65" s="3" t="s">
        <v>212</v>
      </c>
      <c r="C65" s="3" t="s">
        <v>173</v>
      </c>
      <c r="D65" s="3" t="s">
        <v>25</v>
      </c>
      <c r="E65" s="3" t="s">
        <v>213</v>
      </c>
      <c r="F65" s="3" t="str">
        <f aca="false">IF(E65="","","https://"&amp;E65)</f>
        <v>https://ctznbank.com</v>
      </c>
      <c r="G65" s="3" t="str">
        <f aca="false">IF(E65="","","https://www.google.com/s2/favicons?domain="&amp;E65&amp;"&amp;sz=128")</f>
        <v>https://www.google.com/s2/favicons?domain=ctznbank.com&amp;sz=128</v>
      </c>
      <c r="H65" s="3" t="str">
        <f aca="false">"https://www.linkedin.com/search/results/companies/?keywords="&amp;SUBSTITUTE(B65," ","%20")</f>
        <v>https://www.linkedin.com/search/results/companies/?keywords=Citizens%20Bank%20International</v>
      </c>
      <c r="I65" s="3" t="str">
        <f aca="false">"https://www.linkedin.com/search/results/people/?keywords=HR%20recruiter%20"&amp;SUBSTITUTE(B65," ","%20")</f>
        <v>https://www.linkedin.com/search/results/people/?keywords=HR%20recruiter%20Citizens%20Bank%20International</v>
      </c>
      <c r="J65" s="4"/>
      <c r="K65" s="4"/>
      <c r="L65" s="4"/>
      <c r="M65" s="4"/>
      <c r="N65" s="5" t="s">
        <v>193</v>
      </c>
      <c r="O65" s="3" t="s">
        <v>20</v>
      </c>
    </row>
    <row r="66" customFormat="false" ht="15" hidden="false" customHeight="false" outlineLevel="0" collapsed="false">
      <c r="A66" s="3" t="n">
        <v>65</v>
      </c>
      <c r="B66" s="3" t="s">
        <v>214</v>
      </c>
      <c r="C66" s="3" t="s">
        <v>173</v>
      </c>
      <c r="D66" s="3" t="s">
        <v>25</v>
      </c>
      <c r="E66" s="3" t="s">
        <v>215</v>
      </c>
      <c r="F66" s="3" t="str">
        <f aca="false">IF(E66="","","https://"&amp;E66)</f>
        <v>https://primebank.com.np</v>
      </c>
      <c r="G66" s="3" t="str">
        <f aca="false">IF(E66="","","https://www.google.com/s2/favicons?domain="&amp;E66&amp;"&amp;sz=128")</f>
        <v>https://www.google.com/s2/favicons?domain=primebank.com.np&amp;sz=128</v>
      </c>
      <c r="H66" s="3" t="str">
        <f aca="false">"https://www.linkedin.com/search/results/companies/?keywords="&amp;SUBSTITUTE(B66," ","%20")</f>
        <v>https://www.linkedin.com/search/results/companies/?keywords=Prime%20Commercial%20Bank</v>
      </c>
      <c r="I66" s="3" t="str">
        <f aca="false">"https://www.linkedin.com/search/results/people/?keywords=HR%20recruiter%20"&amp;SUBSTITUTE(B66," ","%20")</f>
        <v>https://www.linkedin.com/search/results/people/?keywords=HR%20recruiter%20Prime%20Commercial%20Bank</v>
      </c>
      <c r="J66" s="4"/>
      <c r="K66" s="4"/>
      <c r="L66" s="4"/>
      <c r="M66" s="4"/>
      <c r="N66" s="5" t="s">
        <v>193</v>
      </c>
      <c r="O66" s="3" t="s">
        <v>20</v>
      </c>
    </row>
    <row r="67" customFormat="false" ht="15" hidden="false" customHeight="false" outlineLevel="0" collapsed="false">
      <c r="A67" s="3" t="n">
        <v>66</v>
      </c>
      <c r="B67" s="3" t="s">
        <v>216</v>
      </c>
      <c r="C67" s="3" t="s">
        <v>173</v>
      </c>
      <c r="D67" s="3" t="s">
        <v>25</v>
      </c>
      <c r="E67" s="3" t="s">
        <v>217</v>
      </c>
      <c r="F67" s="3" t="str">
        <f aca="false">IF(E67="","","https://"&amp;E67)</f>
        <v>https://centurybank.com.np</v>
      </c>
      <c r="G67" s="3" t="str">
        <f aca="false">IF(E67="","","https://www.google.com/s2/favicons?domain="&amp;E67&amp;"&amp;sz=128")</f>
        <v>https://www.google.com/s2/favicons?domain=centurybank.com.np&amp;sz=128</v>
      </c>
      <c r="H67" s="3" t="str">
        <f aca="false">"https://www.linkedin.com/search/results/companies/?keywords="&amp;SUBSTITUTE(B67," ","%20")</f>
        <v>https://www.linkedin.com/search/results/companies/?keywords=Century%20Commercial%20Bank</v>
      </c>
      <c r="I67" s="3" t="str">
        <f aca="false">"https://www.linkedin.com/search/results/people/?keywords=HR%20recruiter%20"&amp;SUBSTITUTE(B67," ","%20")</f>
        <v>https://www.linkedin.com/search/results/people/?keywords=HR%20recruiter%20Century%20Commercial%20Bank</v>
      </c>
      <c r="J67" s="4"/>
      <c r="K67" s="4"/>
      <c r="L67" s="4"/>
      <c r="M67" s="4"/>
      <c r="N67" s="5" t="s">
        <v>193</v>
      </c>
      <c r="O67" s="3" t="s">
        <v>20</v>
      </c>
    </row>
    <row r="68" customFormat="false" ht="15" hidden="false" customHeight="false" outlineLevel="0" collapsed="false">
      <c r="A68" s="3" t="n">
        <v>67</v>
      </c>
      <c r="B68" s="3" t="s">
        <v>218</v>
      </c>
      <c r="C68" s="3" t="s">
        <v>173</v>
      </c>
      <c r="D68" s="3" t="s">
        <v>25</v>
      </c>
      <c r="E68" s="3" t="s">
        <v>219</v>
      </c>
      <c r="F68" s="3" t="str">
        <f aca="false">IF(E68="","","https://"&amp;E68)</f>
        <v>https://nsbl.com.np</v>
      </c>
      <c r="G68" s="3" t="str">
        <f aca="false">IF(E68="","","https://www.google.com/s2/favicons?domain="&amp;E68&amp;"&amp;sz=128")</f>
        <v>https://www.google.com/s2/favicons?domain=nsbl.com.np&amp;sz=128</v>
      </c>
      <c r="H68" s="3" t="str">
        <f aca="false">"https://www.linkedin.com/search/results/companies/?keywords="&amp;SUBSTITUTE(B68," ","%20")</f>
        <v>https://www.linkedin.com/search/results/companies/?keywords=Nepal%20SBI%20Bank</v>
      </c>
      <c r="I68" s="3" t="str">
        <f aca="false">"https://www.linkedin.com/search/results/people/?keywords=HR%20recruiter%20"&amp;SUBSTITUTE(B68," ","%20")</f>
        <v>https://www.linkedin.com/search/results/people/?keywords=HR%20recruiter%20Nepal%20SBI%20Bank</v>
      </c>
      <c r="J68" s="4"/>
      <c r="K68" s="4"/>
      <c r="L68" s="4"/>
      <c r="M68" s="4"/>
      <c r="N68" s="5" t="s">
        <v>220</v>
      </c>
      <c r="O68" s="3" t="s">
        <v>20</v>
      </c>
    </row>
    <row r="69" customFormat="false" ht="15" hidden="false" customHeight="false" outlineLevel="0" collapsed="false">
      <c r="A69" s="3" t="n">
        <v>68</v>
      </c>
      <c r="B69" s="3" t="s">
        <v>221</v>
      </c>
      <c r="C69" s="3" t="s">
        <v>173</v>
      </c>
      <c r="D69" s="3" t="s">
        <v>25</v>
      </c>
      <c r="E69" s="3" t="s">
        <v>222</v>
      </c>
      <c r="F69" s="3" t="str">
        <f aca="false">IF(E69="","","https://"&amp;E69)</f>
        <v>https://nepalbank.com.np</v>
      </c>
      <c r="G69" s="3" t="str">
        <f aca="false">IF(E69="","","https://www.google.com/s2/favicons?domain="&amp;E69&amp;"&amp;sz=128")</f>
        <v>https://www.google.com/s2/favicons?domain=nepalbank.com.np&amp;sz=128</v>
      </c>
      <c r="H69" s="3" t="str">
        <f aca="false">"https://www.linkedin.com/search/results/companies/?keywords="&amp;SUBSTITUTE(B69," ","%20")</f>
        <v>https://www.linkedin.com/search/results/companies/?keywords=Nepal%20Bank%20Limited</v>
      </c>
      <c r="I69" s="3" t="str">
        <f aca="false">"https://www.linkedin.com/search/results/people/?keywords=HR%20recruiter%20"&amp;SUBSTITUTE(B69," ","%20")</f>
        <v>https://www.linkedin.com/search/results/people/?keywords=HR%20recruiter%20Nepal%20Bank%20Limited</v>
      </c>
      <c r="J69" s="4"/>
      <c r="K69" s="4"/>
      <c r="L69" s="4"/>
      <c r="M69" s="4"/>
      <c r="N69" s="5" t="s">
        <v>223</v>
      </c>
      <c r="O69" s="3" t="s">
        <v>20</v>
      </c>
    </row>
    <row r="70" customFormat="false" ht="15" hidden="false" customHeight="false" outlineLevel="0" collapsed="false">
      <c r="A70" s="3" t="n">
        <v>69</v>
      </c>
      <c r="B70" s="3" t="s">
        <v>224</v>
      </c>
      <c r="C70" s="3" t="s">
        <v>173</v>
      </c>
      <c r="D70" s="3" t="s">
        <v>25</v>
      </c>
      <c r="E70" s="3" t="s">
        <v>225</v>
      </c>
      <c r="F70" s="3" t="str">
        <f aca="false">IF(E70="","","https://"&amp;E70)</f>
        <v>https://rbb.com.np</v>
      </c>
      <c r="G70" s="3" t="str">
        <f aca="false">IF(E70="","","https://www.google.com/s2/favicons?domain="&amp;E70&amp;"&amp;sz=128")</f>
        <v>https://www.google.com/s2/favicons?domain=rbb.com.np&amp;sz=128</v>
      </c>
      <c r="H70" s="3" t="str">
        <f aca="false">"https://www.linkedin.com/search/results/companies/?keywords="&amp;SUBSTITUTE(B70," ","%20")</f>
        <v>https://www.linkedin.com/search/results/companies/?keywords=Rastriya%20Banijya%20Bank</v>
      </c>
      <c r="I70" s="3" t="str">
        <f aca="false">"https://www.linkedin.com/search/results/people/?keywords=HR%20recruiter%20"&amp;SUBSTITUTE(B70," ","%20")</f>
        <v>https://www.linkedin.com/search/results/people/?keywords=HR%20recruiter%20Rastriya%20Banijya%20Bank</v>
      </c>
      <c r="J70" s="4"/>
      <c r="K70" s="4"/>
      <c r="L70" s="4"/>
      <c r="M70" s="4"/>
      <c r="N70" s="5" t="s">
        <v>226</v>
      </c>
      <c r="O70" s="3" t="s">
        <v>20</v>
      </c>
    </row>
    <row r="71" customFormat="false" ht="15" hidden="false" customHeight="false" outlineLevel="0" collapsed="false">
      <c r="A71" s="3" t="n">
        <v>70</v>
      </c>
      <c r="B71" s="3" t="s">
        <v>227</v>
      </c>
      <c r="C71" s="3" t="s">
        <v>173</v>
      </c>
      <c r="D71" s="3" t="s">
        <v>25</v>
      </c>
      <c r="E71" s="3" t="s">
        <v>228</v>
      </c>
      <c r="F71" s="3" t="str">
        <f aca="false">IF(E71="","","https://"&amp;E71)</f>
        <v>https://adbl.gov.np</v>
      </c>
      <c r="G71" s="3" t="str">
        <f aca="false">IF(E71="","","https://www.google.com/s2/favicons?domain="&amp;E71&amp;"&amp;sz=128")</f>
        <v>https://www.google.com/s2/favicons?domain=adbl.gov.np&amp;sz=128</v>
      </c>
      <c r="H71" s="3" t="str">
        <f aca="false">"https://www.linkedin.com/search/results/companies/?keywords="&amp;SUBSTITUTE(B71," ","%20")</f>
        <v>https://www.linkedin.com/search/results/companies/?keywords=Agricultural%20Development%20Bank</v>
      </c>
      <c r="I71" s="3" t="str">
        <f aca="false">"https://www.linkedin.com/search/results/people/?keywords=HR%20recruiter%20"&amp;SUBSTITUTE(B71," ","%20")</f>
        <v>https://www.linkedin.com/search/results/people/?keywords=HR%20recruiter%20Agricultural%20Development%20Bank</v>
      </c>
      <c r="J71" s="4"/>
      <c r="K71" s="4"/>
      <c r="L71" s="4"/>
      <c r="M71" s="4"/>
      <c r="N71" s="5" t="s">
        <v>229</v>
      </c>
      <c r="O71" s="3" t="s">
        <v>20</v>
      </c>
    </row>
    <row r="72" customFormat="false" ht="15" hidden="false" customHeight="false" outlineLevel="0" collapsed="false">
      <c r="A72" s="3" t="n">
        <v>71</v>
      </c>
      <c r="B72" s="3" t="s">
        <v>230</v>
      </c>
      <c r="C72" s="3" t="s">
        <v>231</v>
      </c>
      <c r="D72" s="3" t="s">
        <v>25</v>
      </c>
      <c r="E72" s="3" t="s">
        <v>232</v>
      </c>
      <c r="F72" s="3" t="str">
        <f aca="false">IF(E72="","","https://"&amp;E72)</f>
        <v>https://nrb.org.np</v>
      </c>
      <c r="G72" s="3" t="str">
        <f aca="false">IF(E72="","","https://www.google.com/s2/favicons?domain="&amp;E72&amp;"&amp;sz=128")</f>
        <v>https://www.google.com/s2/favicons?domain=nrb.org.np&amp;sz=128</v>
      </c>
      <c r="H72" s="3" t="str">
        <f aca="false">"https://www.linkedin.com/search/results/companies/?keywords="&amp;SUBSTITUTE(B72," ","%20")</f>
        <v>https://www.linkedin.com/search/results/companies/?keywords=Nepal%20Rastra%20Bank</v>
      </c>
      <c r="I72" s="3" t="str">
        <f aca="false">"https://www.linkedin.com/search/results/people/?keywords=HR%20recruiter%20"&amp;SUBSTITUTE(B72," ","%20")</f>
        <v>https://www.linkedin.com/search/results/people/?keywords=HR%20recruiter%20Nepal%20Rastra%20Bank</v>
      </c>
      <c r="J72" s="4"/>
      <c r="K72" s="4"/>
      <c r="L72" s="4"/>
      <c r="M72" s="4"/>
      <c r="N72" s="5" t="s">
        <v>233</v>
      </c>
      <c r="O72" s="3" t="s">
        <v>20</v>
      </c>
    </row>
    <row r="73" customFormat="false" ht="15" hidden="false" customHeight="false" outlineLevel="0" collapsed="false">
      <c r="A73" s="3" t="n">
        <v>72</v>
      </c>
      <c r="B73" s="3" t="s">
        <v>234</v>
      </c>
      <c r="C73" s="3" t="s">
        <v>235</v>
      </c>
      <c r="D73" s="3" t="s">
        <v>25</v>
      </c>
      <c r="E73" s="3" t="s">
        <v>236</v>
      </c>
      <c r="F73" s="3" t="str">
        <f aca="false">IF(E73="","","https://"&amp;E73)</f>
        <v>https://nepalstock.com.np</v>
      </c>
      <c r="G73" s="3" t="str">
        <f aca="false">IF(E73="","","https://www.google.com/s2/favicons?domain="&amp;E73&amp;"&amp;sz=128")</f>
        <v>https://www.google.com/s2/favicons?domain=nepalstock.com.np&amp;sz=128</v>
      </c>
      <c r="H73" s="3" t="str">
        <f aca="false">"https://www.linkedin.com/search/results/companies/?keywords="&amp;SUBSTITUTE(B73," ","%20")</f>
        <v>https://www.linkedin.com/search/results/companies/?keywords=Nepal%20Stock%20Exchange%20(NEPSE)</v>
      </c>
      <c r="I73" s="3" t="str">
        <f aca="false">"https://www.linkedin.com/search/results/people/?keywords=HR%20recruiter%20"&amp;SUBSTITUTE(B73," ","%20")</f>
        <v>https://www.linkedin.com/search/results/people/?keywords=HR%20recruiter%20Nepal%20Stock%20Exchange%20(NEPSE)</v>
      </c>
      <c r="J73" s="4"/>
      <c r="K73" s="4"/>
      <c r="L73" s="4"/>
      <c r="M73" s="4"/>
      <c r="N73" s="5" t="s">
        <v>237</v>
      </c>
      <c r="O73" s="3" t="s">
        <v>20</v>
      </c>
    </row>
    <row r="74" customFormat="false" ht="15" hidden="false" customHeight="false" outlineLevel="0" collapsed="false">
      <c r="A74" s="3" t="n">
        <v>73</v>
      </c>
      <c r="B74" s="3" t="s">
        <v>238</v>
      </c>
      <c r="C74" s="3" t="s">
        <v>235</v>
      </c>
      <c r="D74" s="3" t="s">
        <v>25</v>
      </c>
      <c r="E74" s="3" t="s">
        <v>239</v>
      </c>
      <c r="F74" s="3" t="str">
        <f aca="false">IF(E74="","","https://"&amp;E74)</f>
        <v>https://cdsc.com.np</v>
      </c>
      <c r="G74" s="3" t="str">
        <f aca="false">IF(E74="","","https://www.google.com/s2/favicons?domain="&amp;E74&amp;"&amp;sz=128")</f>
        <v>https://www.google.com/s2/favicons?domain=cdsc.com.np&amp;sz=128</v>
      </c>
      <c r="H74" s="3" t="str">
        <f aca="false">"https://www.linkedin.com/search/results/companies/?keywords="&amp;SUBSTITUTE(B74," ","%20")</f>
        <v>https://www.linkedin.com/search/results/companies/?keywords=CDS%20and%20Clearing%20Limited</v>
      </c>
      <c r="I74" s="3" t="str">
        <f aca="false">"https://www.linkedin.com/search/results/people/?keywords=HR%20recruiter%20"&amp;SUBSTITUTE(B74," ","%20")</f>
        <v>https://www.linkedin.com/search/results/people/?keywords=HR%20recruiter%20CDS%20and%20Clearing%20Limited</v>
      </c>
      <c r="J74" s="4"/>
      <c r="K74" s="4"/>
      <c r="L74" s="4"/>
      <c r="M74" s="4"/>
      <c r="N74" s="5" t="s">
        <v>240</v>
      </c>
      <c r="O74" s="3" t="s">
        <v>20</v>
      </c>
    </row>
    <row r="75" customFormat="false" ht="15" hidden="false" customHeight="false" outlineLevel="0" collapsed="false">
      <c r="A75" s="3" t="n">
        <v>74</v>
      </c>
      <c r="B75" s="3" t="s">
        <v>241</v>
      </c>
      <c r="C75" s="3" t="s">
        <v>231</v>
      </c>
      <c r="D75" s="3" t="s">
        <v>25</v>
      </c>
      <c r="E75" s="3" t="s">
        <v>242</v>
      </c>
      <c r="F75" s="3" t="str">
        <f aca="false">IF(E75="","","https://"&amp;E75)</f>
        <v>https://sebon.gov.np</v>
      </c>
      <c r="G75" s="3" t="str">
        <f aca="false">IF(E75="","","https://www.google.com/s2/favicons?domain="&amp;E75&amp;"&amp;sz=128")</f>
        <v>https://www.google.com/s2/favicons?domain=sebon.gov.np&amp;sz=128</v>
      </c>
      <c r="H75" s="3" t="str">
        <f aca="false">"https://www.linkedin.com/search/results/companies/?keywords="&amp;SUBSTITUTE(B75," ","%20")</f>
        <v>https://www.linkedin.com/search/results/companies/?keywords=SEBON</v>
      </c>
      <c r="I75" s="3" t="str">
        <f aca="false">"https://www.linkedin.com/search/results/people/?keywords=HR%20recruiter%20"&amp;SUBSTITUTE(B75," ","%20")</f>
        <v>https://www.linkedin.com/search/results/people/?keywords=HR%20recruiter%20SEBON</v>
      </c>
      <c r="J75" s="4"/>
      <c r="K75" s="4"/>
      <c r="L75" s="4"/>
      <c r="M75" s="4"/>
      <c r="N75" s="5" t="s">
        <v>243</v>
      </c>
      <c r="O75" s="3" t="s">
        <v>20</v>
      </c>
    </row>
    <row r="76" customFormat="false" ht="15" hidden="false" customHeight="false" outlineLevel="0" collapsed="false">
      <c r="A76" s="3" t="n">
        <v>75</v>
      </c>
      <c r="B76" s="3" t="s">
        <v>244</v>
      </c>
      <c r="C76" s="3" t="s">
        <v>235</v>
      </c>
      <c r="D76" s="3" t="s">
        <v>25</v>
      </c>
      <c r="E76" s="3" t="s">
        <v>245</v>
      </c>
      <c r="F76" s="3" t="str">
        <f aca="false">IF(E76="","","https://"&amp;E76)</f>
        <v>https://nepallife.com.np</v>
      </c>
      <c r="G76" s="3" t="str">
        <f aca="false">IF(E76="","","https://www.google.com/s2/favicons?domain="&amp;E76&amp;"&amp;sz=128")</f>
        <v>https://www.google.com/s2/favicons?domain=nepallife.com.np&amp;sz=128</v>
      </c>
      <c r="H76" s="3" t="str">
        <f aca="false">"https://www.linkedin.com/search/results/companies/?keywords="&amp;SUBSTITUTE(B76," ","%20")</f>
        <v>https://www.linkedin.com/search/results/companies/?keywords=Nepal%20Life%20Insurance</v>
      </c>
      <c r="I76" s="3" t="str">
        <f aca="false">"https://www.linkedin.com/search/results/people/?keywords=HR%20recruiter%20"&amp;SUBSTITUTE(B76," ","%20")</f>
        <v>https://www.linkedin.com/search/results/people/?keywords=HR%20recruiter%20Nepal%20Life%20Insurance</v>
      </c>
      <c r="J76" s="4"/>
      <c r="K76" s="4"/>
      <c r="L76" s="4"/>
      <c r="M76" s="4"/>
      <c r="N76" s="5" t="s">
        <v>246</v>
      </c>
      <c r="O76" s="3" t="s">
        <v>20</v>
      </c>
    </row>
    <row r="77" customFormat="false" ht="15" hidden="false" customHeight="false" outlineLevel="0" collapsed="false">
      <c r="A77" s="3" t="n">
        <v>76</v>
      </c>
      <c r="B77" s="3" t="s">
        <v>247</v>
      </c>
      <c r="C77" s="3" t="s">
        <v>235</v>
      </c>
      <c r="D77" s="3" t="s">
        <v>25</v>
      </c>
      <c r="E77" s="3" t="s">
        <v>248</v>
      </c>
      <c r="F77" s="3" t="str">
        <f aca="false">IF(E77="","","https://"&amp;E77)</f>
        <v>https://licnepal.com.np</v>
      </c>
      <c r="G77" s="3" t="str">
        <f aca="false">IF(E77="","","https://www.google.com/s2/favicons?domain="&amp;E77&amp;"&amp;sz=128")</f>
        <v>https://www.google.com/s2/favicons?domain=licnepal.com.np&amp;sz=128</v>
      </c>
      <c r="H77" s="3" t="str">
        <f aca="false">"https://www.linkedin.com/search/results/companies/?keywords="&amp;SUBSTITUTE(B77," ","%20")</f>
        <v>https://www.linkedin.com/search/results/companies/?keywords=Life%20Insurance%20Corporation%20Nepal</v>
      </c>
      <c r="I77" s="3" t="str">
        <f aca="false">"https://www.linkedin.com/search/results/people/?keywords=HR%20recruiter%20"&amp;SUBSTITUTE(B77," ","%20")</f>
        <v>https://www.linkedin.com/search/results/people/?keywords=HR%20recruiter%20Life%20Insurance%20Corporation%20Nepal</v>
      </c>
      <c r="J77" s="4"/>
      <c r="K77" s="4"/>
      <c r="L77" s="4"/>
      <c r="M77" s="4"/>
      <c r="N77" s="5" t="s">
        <v>246</v>
      </c>
      <c r="O77" s="3" t="s">
        <v>20</v>
      </c>
    </row>
    <row r="78" customFormat="false" ht="15" hidden="false" customHeight="false" outlineLevel="0" collapsed="false">
      <c r="A78" s="3" t="n">
        <v>77</v>
      </c>
      <c r="B78" s="3" t="s">
        <v>249</v>
      </c>
      <c r="C78" s="3" t="s">
        <v>231</v>
      </c>
      <c r="D78" s="3" t="s">
        <v>25</v>
      </c>
      <c r="E78" s="3" t="s">
        <v>250</v>
      </c>
      <c r="F78" s="3" t="str">
        <f aca="false">IF(E78="","","https://"&amp;E78)</f>
        <v>https://doit.gov.np</v>
      </c>
      <c r="G78" s="3" t="str">
        <f aca="false">IF(E78="","","https://www.google.com/s2/favicons?domain="&amp;E78&amp;"&amp;sz=128")</f>
        <v>https://www.google.com/s2/favicons?domain=doit.gov.np&amp;sz=128</v>
      </c>
      <c r="H78" s="3" t="str">
        <f aca="false">"https://www.linkedin.com/search/results/companies/?keywords="&amp;SUBSTITUTE(B78," ","%20")</f>
        <v>https://www.linkedin.com/search/results/companies/?keywords=Department%20of%20Information%20Technology</v>
      </c>
      <c r="I78" s="3" t="str">
        <f aca="false">"https://www.linkedin.com/search/results/people/?keywords=HR%20recruiter%20"&amp;SUBSTITUTE(B78," ","%20")</f>
        <v>https://www.linkedin.com/search/results/people/?keywords=HR%20recruiter%20Department%20of%20Information%20Technology</v>
      </c>
      <c r="J78" s="4"/>
      <c r="K78" s="4"/>
      <c r="L78" s="4"/>
      <c r="M78" s="4"/>
      <c r="N78" s="5" t="s">
        <v>251</v>
      </c>
      <c r="O78" s="3" t="s">
        <v>20</v>
      </c>
    </row>
    <row r="79" customFormat="false" ht="15" hidden="false" customHeight="false" outlineLevel="0" collapsed="false">
      <c r="A79" s="3" t="n">
        <v>78</v>
      </c>
      <c r="B79" s="3" t="s">
        <v>252</v>
      </c>
      <c r="C79" s="3" t="s">
        <v>231</v>
      </c>
      <c r="D79" s="3" t="s">
        <v>25</v>
      </c>
      <c r="E79" s="3" t="s">
        <v>253</v>
      </c>
      <c r="F79" s="3" t="str">
        <f aca="false">IF(E79="","","https://"&amp;E79)</f>
        <v>https://nitc.gov.np</v>
      </c>
      <c r="G79" s="3" t="str">
        <f aca="false">IF(E79="","","https://www.google.com/s2/favicons?domain="&amp;E79&amp;"&amp;sz=128")</f>
        <v>https://www.google.com/s2/favicons?domain=nitc.gov.np&amp;sz=128</v>
      </c>
      <c r="H79" s="3" t="str">
        <f aca="false">"https://www.linkedin.com/search/results/companies/?keywords="&amp;SUBSTITUTE(B79," ","%20")</f>
        <v>https://www.linkedin.com/search/results/companies/?keywords=National%20Information%20Technology%20Center</v>
      </c>
      <c r="I79" s="3" t="str">
        <f aca="false">"https://www.linkedin.com/search/results/people/?keywords=HR%20recruiter%20"&amp;SUBSTITUTE(B79," ","%20")</f>
        <v>https://www.linkedin.com/search/results/people/?keywords=HR%20recruiter%20National%20Information%20Technology%20Center</v>
      </c>
      <c r="J79" s="4"/>
      <c r="K79" s="4"/>
      <c r="L79" s="4"/>
      <c r="M79" s="4"/>
      <c r="N79" s="5" t="s">
        <v>254</v>
      </c>
      <c r="O79" s="3" t="s">
        <v>20</v>
      </c>
    </row>
    <row r="80" customFormat="false" ht="15" hidden="false" customHeight="false" outlineLevel="0" collapsed="false">
      <c r="A80" s="3" t="n">
        <v>79</v>
      </c>
      <c r="B80" s="3" t="s">
        <v>255</v>
      </c>
      <c r="C80" s="3" t="s">
        <v>231</v>
      </c>
      <c r="D80" s="3" t="s">
        <v>25</v>
      </c>
      <c r="E80" s="3" t="s">
        <v>256</v>
      </c>
      <c r="F80" s="3" t="str">
        <f aca="false">IF(E80="","","https://"&amp;E80)</f>
        <v>https://nea.org.np</v>
      </c>
      <c r="G80" s="3" t="str">
        <f aca="false">IF(E80="","","https://www.google.com/s2/favicons?domain="&amp;E80&amp;"&amp;sz=128")</f>
        <v>https://www.google.com/s2/favicons?domain=nea.org.np&amp;sz=128</v>
      </c>
      <c r="H80" s="3" t="str">
        <f aca="false">"https://www.linkedin.com/search/results/companies/?keywords="&amp;SUBSTITUTE(B80," ","%20")</f>
        <v>https://www.linkedin.com/search/results/companies/?keywords=Nepal%20Electricity%20Authority</v>
      </c>
      <c r="I80" s="3" t="str">
        <f aca="false">"https://www.linkedin.com/search/results/people/?keywords=HR%20recruiter%20"&amp;SUBSTITUTE(B80," ","%20")</f>
        <v>https://www.linkedin.com/search/results/people/?keywords=HR%20recruiter%20Nepal%20Electricity%20Authority</v>
      </c>
      <c r="J80" s="4"/>
      <c r="K80" s="4"/>
      <c r="L80" s="4"/>
      <c r="M80" s="4"/>
      <c r="N80" s="5" t="s">
        <v>257</v>
      </c>
      <c r="O80" s="3" t="s">
        <v>20</v>
      </c>
    </row>
    <row r="81" customFormat="false" ht="15" hidden="false" customHeight="false" outlineLevel="0" collapsed="false">
      <c r="A81" s="3" t="n">
        <v>80</v>
      </c>
      <c r="B81" s="3" t="s">
        <v>258</v>
      </c>
      <c r="C81" s="3" t="s">
        <v>259</v>
      </c>
      <c r="D81" s="3" t="s">
        <v>25</v>
      </c>
      <c r="E81" s="3" t="s">
        <v>260</v>
      </c>
      <c r="F81" s="3" t="str">
        <f aca="false">IF(E81="","","https://"&amp;E81)</f>
        <v>https://broadwayinfosys.com</v>
      </c>
      <c r="G81" s="3" t="str">
        <f aca="false">IF(E81="","","https://www.google.com/s2/favicons?domain="&amp;E81&amp;"&amp;sz=128")</f>
        <v>https://www.google.com/s2/favicons?domain=broadwayinfosys.com&amp;sz=128</v>
      </c>
      <c r="H81" s="3" t="str">
        <f aca="false">"https://www.linkedin.com/search/results/companies/?keywords="&amp;SUBSTITUTE(B81," ","%20")</f>
        <v>https://www.linkedin.com/search/results/companies/?keywords=Broadway%20Infosys</v>
      </c>
      <c r="I81" s="3" t="str">
        <f aca="false">"https://www.linkedin.com/search/results/people/?keywords=HR%20recruiter%20"&amp;SUBSTITUTE(B81," ","%20")</f>
        <v>https://www.linkedin.com/search/results/people/?keywords=HR%20recruiter%20Broadway%20Infosys</v>
      </c>
      <c r="J81" s="4"/>
      <c r="K81" s="4"/>
      <c r="L81" s="4"/>
      <c r="M81" s="4"/>
      <c r="N81" s="5" t="s">
        <v>261</v>
      </c>
      <c r="O81" s="3" t="s">
        <v>20</v>
      </c>
    </row>
    <row r="82" customFormat="false" ht="15" hidden="false" customHeight="false" outlineLevel="0" collapsed="false">
      <c r="A82" s="3" t="n">
        <v>81</v>
      </c>
      <c r="B82" s="3" t="s">
        <v>262</v>
      </c>
      <c r="C82" s="3" t="s">
        <v>259</v>
      </c>
      <c r="D82" s="3" t="s">
        <v>25</v>
      </c>
      <c r="E82" s="3" t="s">
        <v>263</v>
      </c>
      <c r="F82" s="3" t="str">
        <f aca="false">IF(E82="","","https://"&amp;E82)</f>
        <v>https://softwarica.edu.np</v>
      </c>
      <c r="G82" s="3" t="str">
        <f aca="false">IF(E82="","","https://www.google.com/s2/favicons?domain="&amp;E82&amp;"&amp;sz=128")</f>
        <v>https://www.google.com/s2/favicons?domain=softwarica.edu.np&amp;sz=128</v>
      </c>
      <c r="H82" s="3" t="str">
        <f aca="false">"https://www.linkedin.com/search/results/companies/?keywords="&amp;SUBSTITUTE(B82," ","%20")</f>
        <v>https://www.linkedin.com/search/results/companies/?keywords=Softwarica%20College</v>
      </c>
      <c r="I82" s="3" t="str">
        <f aca="false">"https://www.linkedin.com/search/results/people/?keywords=HR%20recruiter%20"&amp;SUBSTITUTE(B82," ","%20")</f>
        <v>https://www.linkedin.com/search/results/people/?keywords=HR%20recruiter%20Softwarica%20College</v>
      </c>
      <c r="J82" s="4"/>
      <c r="K82" s="4"/>
      <c r="L82" s="4"/>
      <c r="M82" s="4"/>
      <c r="N82" s="5" t="s">
        <v>264</v>
      </c>
      <c r="O82" s="3" t="s">
        <v>20</v>
      </c>
    </row>
    <row r="83" customFormat="false" ht="15" hidden="false" customHeight="false" outlineLevel="0" collapsed="false">
      <c r="A83" s="3" t="n">
        <v>82</v>
      </c>
      <c r="B83" s="3" t="s">
        <v>265</v>
      </c>
      <c r="C83" s="3" t="s">
        <v>259</v>
      </c>
      <c r="D83" s="3" t="s">
        <v>25</v>
      </c>
      <c r="E83" s="3" t="s">
        <v>266</v>
      </c>
      <c r="F83" s="3" t="str">
        <f aca="false">IF(E83="","","https://"&amp;E83)</f>
        <v>https://islington.edu.np</v>
      </c>
      <c r="G83" s="3" t="str">
        <f aca="false">IF(E83="","","https://www.google.com/s2/favicons?domain="&amp;E83&amp;"&amp;sz=128")</f>
        <v>https://www.google.com/s2/favicons?domain=islington.edu.np&amp;sz=128</v>
      </c>
      <c r="H83" s="3" t="str">
        <f aca="false">"https://www.linkedin.com/search/results/companies/?keywords="&amp;SUBSTITUTE(B83," ","%20")</f>
        <v>https://www.linkedin.com/search/results/companies/?keywords=Islington%20College</v>
      </c>
      <c r="I83" s="3" t="str">
        <f aca="false">"https://www.linkedin.com/search/results/people/?keywords=HR%20recruiter%20"&amp;SUBSTITUTE(B83," ","%20")</f>
        <v>https://www.linkedin.com/search/results/people/?keywords=HR%20recruiter%20Islington%20College</v>
      </c>
      <c r="J83" s="4"/>
      <c r="K83" s="4"/>
      <c r="L83" s="4"/>
      <c r="M83" s="4"/>
      <c r="N83" s="5" t="s">
        <v>267</v>
      </c>
      <c r="O83" s="3" t="s">
        <v>20</v>
      </c>
    </row>
    <row r="84" customFormat="false" ht="15" hidden="false" customHeight="false" outlineLevel="0" collapsed="false">
      <c r="A84" s="3" t="n">
        <v>83</v>
      </c>
      <c r="B84" s="3" t="s">
        <v>268</v>
      </c>
      <c r="C84" s="3" t="s">
        <v>259</v>
      </c>
      <c r="D84" s="3" t="s">
        <v>25</v>
      </c>
      <c r="E84" s="3" t="s">
        <v>269</v>
      </c>
      <c r="F84" s="3" t="str">
        <f aca="false">IF(E84="","","https://"&amp;E84)</f>
        <v>https://heraldcollege.edu.np</v>
      </c>
      <c r="G84" s="3" t="str">
        <f aca="false">IF(E84="","","https://www.google.com/s2/favicons?domain="&amp;E84&amp;"&amp;sz=128")</f>
        <v>https://www.google.com/s2/favicons?domain=heraldcollege.edu.np&amp;sz=128</v>
      </c>
      <c r="H84" s="3" t="str">
        <f aca="false">"https://www.linkedin.com/search/results/companies/?keywords="&amp;SUBSTITUTE(B84," ","%20")</f>
        <v>https://www.linkedin.com/search/results/companies/?keywords=Herald%20College%20Kathmandu</v>
      </c>
      <c r="I84" s="3" t="str">
        <f aca="false">"https://www.linkedin.com/search/results/people/?keywords=HR%20recruiter%20"&amp;SUBSTITUTE(B84," ","%20")</f>
        <v>https://www.linkedin.com/search/results/people/?keywords=HR%20recruiter%20Herald%20College%20Kathmandu</v>
      </c>
      <c r="J84" s="4"/>
      <c r="K84" s="4"/>
      <c r="L84" s="4"/>
      <c r="M84" s="4"/>
      <c r="N84" s="5" t="s">
        <v>267</v>
      </c>
      <c r="O84" s="3" t="s">
        <v>20</v>
      </c>
    </row>
    <row r="85" customFormat="false" ht="15" hidden="false" customHeight="false" outlineLevel="0" collapsed="false">
      <c r="A85" s="3" t="n">
        <v>84</v>
      </c>
      <c r="B85" s="3" t="s">
        <v>270</v>
      </c>
      <c r="C85" s="3" t="s">
        <v>259</v>
      </c>
      <c r="D85" s="3" t="s">
        <v>25</v>
      </c>
      <c r="E85" s="3" t="s">
        <v>271</v>
      </c>
      <c r="F85" s="3" t="str">
        <f aca="false">IF(E85="","","https://"&amp;E85)</f>
        <v>https://deerwalk.edu.np</v>
      </c>
      <c r="G85" s="3" t="str">
        <f aca="false">IF(E85="","","https://www.google.com/s2/favicons?domain="&amp;E85&amp;"&amp;sz=128")</f>
        <v>https://www.google.com/s2/favicons?domain=deerwalk.edu.np&amp;sz=128</v>
      </c>
      <c r="H85" s="3" t="str">
        <f aca="false">"https://www.linkedin.com/search/results/companies/?keywords="&amp;SUBSTITUTE(B85," ","%20")</f>
        <v>https://www.linkedin.com/search/results/companies/?keywords=Deerwalk%20Institute%20of%20Technology</v>
      </c>
      <c r="I85" s="3" t="str">
        <f aca="false">"https://www.linkedin.com/search/results/people/?keywords=HR%20recruiter%20"&amp;SUBSTITUTE(B85," ","%20")</f>
        <v>https://www.linkedin.com/search/results/people/?keywords=HR%20recruiter%20Deerwalk%20Institute%20of%20Technology</v>
      </c>
      <c r="J85" s="4"/>
      <c r="K85" s="4"/>
      <c r="L85" s="4"/>
      <c r="M85" s="4"/>
      <c r="N85" s="5" t="s">
        <v>272</v>
      </c>
      <c r="O85" s="3" t="s">
        <v>20</v>
      </c>
    </row>
    <row r="86" customFormat="false" ht="15" hidden="false" customHeight="false" outlineLevel="0" collapsed="false">
      <c r="A86" s="3" t="n">
        <v>85</v>
      </c>
      <c r="B86" s="3" t="s">
        <v>273</v>
      </c>
      <c r="C86" s="3" t="s">
        <v>259</v>
      </c>
      <c r="D86" s="3" t="s">
        <v>25</v>
      </c>
      <c r="E86" s="3" t="s">
        <v>274</v>
      </c>
      <c r="F86" s="3" t="str">
        <f aca="false">IF(E86="","","https://"&amp;E86)</f>
        <v>https://iimscollege.edu.np</v>
      </c>
      <c r="G86" s="3" t="str">
        <f aca="false">IF(E86="","","https://www.google.com/s2/favicons?domain="&amp;E86&amp;"&amp;sz=128")</f>
        <v>https://www.google.com/s2/favicons?domain=iimscollege.edu.np&amp;sz=128</v>
      </c>
      <c r="H86" s="3" t="str">
        <f aca="false">"https://www.linkedin.com/search/results/companies/?keywords="&amp;SUBSTITUTE(B86," ","%20")</f>
        <v>https://www.linkedin.com/search/results/companies/?keywords=IIMS%20College</v>
      </c>
      <c r="I86" s="3" t="str">
        <f aca="false">"https://www.linkedin.com/search/results/people/?keywords=HR%20recruiter%20"&amp;SUBSTITUTE(B86," ","%20")</f>
        <v>https://www.linkedin.com/search/results/people/?keywords=HR%20recruiter%20IIMS%20College</v>
      </c>
      <c r="J86" s="4"/>
      <c r="K86" s="4"/>
      <c r="L86" s="4"/>
      <c r="M86" s="4"/>
      <c r="N86" s="5" t="s">
        <v>275</v>
      </c>
      <c r="O86" s="3" t="s">
        <v>20</v>
      </c>
    </row>
    <row r="87" customFormat="false" ht="15" hidden="false" customHeight="false" outlineLevel="0" collapsed="false">
      <c r="A87" s="3" t="n">
        <v>86</v>
      </c>
      <c r="B87" s="3" t="s">
        <v>276</v>
      </c>
      <c r="C87" s="3" t="s">
        <v>259</v>
      </c>
      <c r="D87" s="3" t="s">
        <v>277</v>
      </c>
      <c r="E87" s="3" t="s">
        <v>278</v>
      </c>
      <c r="F87" s="3" t="str">
        <f aca="false">IF(E87="","","https://"&amp;E87)</f>
        <v>https://ku.edu.np</v>
      </c>
      <c r="G87" s="3" t="str">
        <f aca="false">IF(E87="","","https://www.google.com/s2/favicons?domain="&amp;E87&amp;"&amp;sz=128")</f>
        <v>https://www.google.com/s2/favicons?domain=ku.edu.np&amp;sz=128</v>
      </c>
      <c r="H87" s="3" t="str">
        <f aca="false">"https://www.linkedin.com/search/results/companies/?keywords="&amp;SUBSTITUTE(B87," ","%20")</f>
        <v>https://www.linkedin.com/search/results/companies/?keywords=Kathmandu%20University</v>
      </c>
      <c r="I87" s="3" t="str">
        <f aca="false">"https://www.linkedin.com/search/results/people/?keywords=HR%20recruiter%20"&amp;SUBSTITUTE(B87," ","%20")</f>
        <v>https://www.linkedin.com/search/results/people/?keywords=HR%20recruiter%20Kathmandu%20University</v>
      </c>
      <c r="J87" s="4"/>
      <c r="K87" s="4"/>
      <c r="L87" s="4"/>
      <c r="M87" s="4"/>
      <c r="N87" s="5" t="s">
        <v>279</v>
      </c>
      <c r="O87" s="3" t="s">
        <v>20</v>
      </c>
    </row>
    <row r="88" customFormat="false" ht="15" hidden="false" customHeight="false" outlineLevel="0" collapsed="false">
      <c r="A88" s="3" t="n">
        <v>87</v>
      </c>
      <c r="B88" s="3" t="s">
        <v>280</v>
      </c>
      <c r="C88" s="3" t="s">
        <v>80</v>
      </c>
      <c r="D88" s="3" t="s">
        <v>17</v>
      </c>
      <c r="E88" s="3"/>
      <c r="F88" s="3" t="str">
        <f aca="false">IF(E88="","","https://"&amp;E88)</f>
        <v/>
      </c>
      <c r="G88" s="3" t="str">
        <f aca="false">IF(E88="","","https://www.google.com/s2/favicons?domain="&amp;E88&amp;"&amp;sz=128")</f>
        <v/>
      </c>
      <c r="H88" s="3" t="str">
        <f aca="false">"https://www.linkedin.com/search/results/companies/?keywords="&amp;SUBSTITUTE(B88," ","%20")</f>
        <v>https://www.linkedin.com/search/results/companies/?keywords=Synapse%20Technologies</v>
      </c>
      <c r="I88" s="3" t="str">
        <f aca="false">"https://www.linkedin.com/search/results/people/?keywords=HR%20recruiter%20"&amp;SUBSTITUTE(B88," ","%20")</f>
        <v>https://www.linkedin.com/search/results/people/?keywords=HR%20recruiter%20Synapse%20Technologies</v>
      </c>
      <c r="J88" s="4"/>
      <c r="K88" s="4"/>
      <c r="L88" s="4"/>
      <c r="M88" s="4"/>
      <c r="N88" s="5" t="s">
        <v>281</v>
      </c>
      <c r="O88" s="3" t="s">
        <v>282</v>
      </c>
    </row>
    <row r="89" customFormat="false" ht="23.85" hidden="false" customHeight="false" outlineLevel="0" collapsed="false">
      <c r="A89" s="3" t="n">
        <v>88</v>
      </c>
      <c r="B89" s="3" t="s">
        <v>283</v>
      </c>
      <c r="C89" s="3" t="s">
        <v>80</v>
      </c>
      <c r="D89" s="3" t="s">
        <v>17</v>
      </c>
      <c r="E89" s="3"/>
      <c r="F89" s="3" t="str">
        <f aca="false">IF(E89="","","https://"&amp;E89)</f>
        <v/>
      </c>
      <c r="G89" s="3" t="str">
        <f aca="false">IF(E89="","","https://www.google.com/s2/favicons?domain="&amp;E89&amp;"&amp;sz=128")</f>
        <v/>
      </c>
      <c r="H89" s="3" t="str">
        <f aca="false">"https://www.linkedin.com/search/results/companies/?keywords="&amp;SUBSTITUTE(B89," ","%20")</f>
        <v>https://www.linkedin.com/search/results/companies/?keywords=Tech%20Nirvana</v>
      </c>
      <c r="I89" s="3" t="str">
        <f aca="false">"https://www.linkedin.com/search/results/people/?keywords=HR%20recruiter%20"&amp;SUBSTITUTE(B89," ","%20")</f>
        <v>https://www.linkedin.com/search/results/people/?keywords=HR%20recruiter%20Tech%20Nirvana</v>
      </c>
      <c r="J89" s="4"/>
      <c r="K89" s="4"/>
      <c r="L89" s="4"/>
      <c r="M89" s="4"/>
      <c r="N89" s="5" t="s">
        <v>284</v>
      </c>
      <c r="O89" s="3" t="s">
        <v>282</v>
      </c>
    </row>
    <row r="90" customFormat="false" ht="15" hidden="false" customHeight="false" outlineLevel="0" collapsed="false">
      <c r="A90" s="3" t="n">
        <v>89</v>
      </c>
      <c r="B90" s="3" t="s">
        <v>285</v>
      </c>
      <c r="C90" s="3" t="s">
        <v>80</v>
      </c>
      <c r="D90" s="3" t="s">
        <v>17</v>
      </c>
      <c r="E90" s="3"/>
      <c r="F90" s="3" t="str">
        <f aca="false">IF(E90="","","https://"&amp;E90)</f>
        <v/>
      </c>
      <c r="G90" s="3" t="str">
        <f aca="false">IF(E90="","","https://www.google.com/s2/favicons?domain="&amp;E90&amp;"&amp;sz=128")</f>
        <v/>
      </c>
      <c r="H90" s="3" t="str">
        <f aca="false">"https://www.linkedin.com/search/results/companies/?keywords="&amp;SUBSTITUTE(B90," ","%20")</f>
        <v>https://www.linkedin.com/search/results/companies/?keywords=Featherwebs</v>
      </c>
      <c r="I90" s="3" t="str">
        <f aca="false">"https://www.linkedin.com/search/results/people/?keywords=HR%20recruiter%20"&amp;SUBSTITUTE(B90," ","%20")</f>
        <v>https://www.linkedin.com/search/results/people/?keywords=HR%20recruiter%20Featherwebs</v>
      </c>
      <c r="J90" s="4"/>
      <c r="K90" s="4"/>
      <c r="L90" s="4"/>
      <c r="M90" s="4"/>
      <c r="N90" s="5" t="s">
        <v>286</v>
      </c>
      <c r="O90" s="3" t="s">
        <v>282</v>
      </c>
    </row>
    <row r="91" customFormat="false" ht="15" hidden="false" customHeight="false" outlineLevel="0" collapsed="false">
      <c r="A91" s="3" t="n">
        <v>90</v>
      </c>
      <c r="B91" s="3" t="s">
        <v>287</v>
      </c>
      <c r="C91" s="3" t="s">
        <v>80</v>
      </c>
      <c r="D91" s="3" t="s">
        <v>17</v>
      </c>
      <c r="E91" s="3"/>
      <c r="F91" s="3" t="str">
        <f aca="false">IF(E91="","","https://"&amp;E91)</f>
        <v/>
      </c>
      <c r="G91" s="3" t="str">
        <f aca="false">IF(E91="","","https://www.google.com/s2/favicons?domain="&amp;E91&amp;"&amp;sz=128")</f>
        <v/>
      </c>
      <c r="H91" s="3" t="str">
        <f aca="false">"https://www.linkedin.com/search/results/companies/?keywords="&amp;SUBSTITUTE(B91," ","%20")</f>
        <v>https://www.linkedin.com/search/results/companies/?keywords=Cloco%20Nepal</v>
      </c>
      <c r="I91" s="3" t="str">
        <f aca="false">"https://www.linkedin.com/search/results/people/?keywords=HR%20recruiter%20"&amp;SUBSTITUTE(B91," ","%20")</f>
        <v>https://www.linkedin.com/search/results/people/?keywords=HR%20recruiter%20Cloco%20Nepal</v>
      </c>
      <c r="J91" s="4"/>
      <c r="K91" s="4"/>
      <c r="L91" s="4"/>
      <c r="M91" s="4"/>
      <c r="N91" s="5" t="s">
        <v>288</v>
      </c>
      <c r="O91" s="3" t="s">
        <v>282</v>
      </c>
    </row>
    <row r="92" customFormat="false" ht="15" hidden="false" customHeight="false" outlineLevel="0" collapsed="false">
      <c r="A92" s="3" t="n">
        <v>91</v>
      </c>
      <c r="B92" s="3" t="s">
        <v>289</v>
      </c>
      <c r="C92" s="3" t="s">
        <v>80</v>
      </c>
      <c r="D92" s="3" t="s">
        <v>17</v>
      </c>
      <c r="E92" s="3"/>
      <c r="F92" s="3" t="str">
        <f aca="false">IF(E92="","","https://"&amp;E92)</f>
        <v/>
      </c>
      <c r="G92" s="3" t="str">
        <f aca="false">IF(E92="","","https://www.google.com/s2/favicons?domain="&amp;E92&amp;"&amp;sz=128")</f>
        <v/>
      </c>
      <c r="H92" s="3" t="str">
        <f aca="false">"https://www.linkedin.com/search/results/companies/?keywords="&amp;SUBSTITUTE(B92," ","%20")</f>
        <v>https://www.linkedin.com/search/results/companies/?keywords=Logicurv</v>
      </c>
      <c r="I92" s="3" t="str">
        <f aca="false">"https://www.linkedin.com/search/results/people/?keywords=HR%20recruiter%20"&amp;SUBSTITUTE(B92," ","%20")</f>
        <v>https://www.linkedin.com/search/results/people/?keywords=HR%20recruiter%20Logicurv</v>
      </c>
      <c r="J92" s="4"/>
      <c r="K92" s="4"/>
      <c r="L92" s="4"/>
      <c r="M92" s="4"/>
      <c r="N92" s="5" t="s">
        <v>290</v>
      </c>
      <c r="O92" s="3" t="s">
        <v>282</v>
      </c>
    </row>
    <row r="93" customFormat="false" ht="15" hidden="false" customHeight="false" outlineLevel="0" collapsed="false">
      <c r="A93" s="3" t="n">
        <v>92</v>
      </c>
      <c r="B93" s="3" t="s">
        <v>291</v>
      </c>
      <c r="C93" s="3" t="s">
        <v>80</v>
      </c>
      <c r="D93" s="3" t="s">
        <v>17</v>
      </c>
      <c r="E93" s="3"/>
      <c r="F93" s="3" t="str">
        <f aca="false">IF(E93="","","https://"&amp;E93)</f>
        <v/>
      </c>
      <c r="G93" s="3" t="str">
        <f aca="false">IF(E93="","","https://www.google.com/s2/favicons?domain="&amp;E93&amp;"&amp;sz=128")</f>
        <v/>
      </c>
      <c r="H93" s="3" t="str">
        <f aca="false">"https://www.linkedin.com/search/results/companies/?keywords="&amp;SUBSTITUTE(B93," ","%20")</f>
        <v>https://www.linkedin.com/search/results/companies/?keywords=Codeed</v>
      </c>
      <c r="I93" s="3" t="str">
        <f aca="false">"https://www.linkedin.com/search/results/people/?keywords=HR%20recruiter%20"&amp;SUBSTITUTE(B93," ","%20")</f>
        <v>https://www.linkedin.com/search/results/people/?keywords=HR%20recruiter%20Codeed</v>
      </c>
      <c r="J93" s="4"/>
      <c r="K93" s="4"/>
      <c r="L93" s="4"/>
      <c r="M93" s="4"/>
      <c r="N93" s="5" t="s">
        <v>292</v>
      </c>
      <c r="O93" s="3" t="s">
        <v>282</v>
      </c>
    </row>
    <row r="94" customFormat="false" ht="15" hidden="false" customHeight="false" outlineLevel="0" collapsed="false">
      <c r="A94" s="3" t="n">
        <v>93</v>
      </c>
      <c r="B94" s="3" t="s">
        <v>293</v>
      </c>
      <c r="C94" s="3" t="s">
        <v>80</v>
      </c>
      <c r="D94" s="3" t="s">
        <v>25</v>
      </c>
      <c r="E94" s="3"/>
      <c r="F94" s="3" t="str">
        <f aca="false">IF(E94="","","https://"&amp;E94)</f>
        <v/>
      </c>
      <c r="G94" s="3" t="str">
        <f aca="false">IF(E94="","","https://www.google.com/s2/favicons?domain="&amp;E94&amp;"&amp;sz=128")</f>
        <v/>
      </c>
      <c r="H94" s="3" t="str">
        <f aca="false">"https://www.linkedin.com/search/results/companies/?keywords="&amp;SUBSTITUTE(B94," ","%20")</f>
        <v>https://www.linkedin.com/search/results/companies/?keywords=Nebulaleap%20Technology</v>
      </c>
      <c r="I94" s="3" t="str">
        <f aca="false">"https://www.linkedin.com/search/results/people/?keywords=HR%20recruiter%20"&amp;SUBSTITUTE(B94," ","%20")</f>
        <v>https://www.linkedin.com/search/results/people/?keywords=HR%20recruiter%20Nebulaleap%20Technology</v>
      </c>
      <c r="J94" s="4"/>
      <c r="K94" s="4"/>
      <c r="L94" s="4"/>
      <c r="M94" s="4"/>
      <c r="N94" s="5" t="s">
        <v>294</v>
      </c>
      <c r="O94" s="3" t="s">
        <v>282</v>
      </c>
    </row>
    <row r="95" customFormat="false" ht="15" hidden="false" customHeight="false" outlineLevel="0" collapsed="false">
      <c r="A95" s="3" t="n">
        <v>94</v>
      </c>
      <c r="B95" s="3" t="s">
        <v>295</v>
      </c>
      <c r="C95" s="3" t="s">
        <v>80</v>
      </c>
      <c r="D95" s="3" t="s">
        <v>296</v>
      </c>
      <c r="E95" s="3"/>
      <c r="F95" s="3" t="str">
        <f aca="false">IF(E95="","","https://"&amp;E95)</f>
        <v/>
      </c>
      <c r="G95" s="3" t="str">
        <f aca="false">IF(E95="","","https://www.google.com/s2/favicons?domain="&amp;E95&amp;"&amp;sz=128")</f>
        <v/>
      </c>
      <c r="H95" s="3" t="str">
        <f aca="false">"https://www.linkedin.com/search/results/companies/?keywords="&amp;SUBSTITUTE(B95," ","%20")</f>
        <v>https://www.linkedin.com/search/results/companies/?keywords=AITC%20International</v>
      </c>
      <c r="I95" s="3" t="str">
        <f aca="false">"https://www.linkedin.com/search/results/people/?keywords=HR%20recruiter%20"&amp;SUBSTITUTE(B95," ","%20")</f>
        <v>https://www.linkedin.com/search/results/people/?keywords=HR%20recruiter%20AITC%20International</v>
      </c>
      <c r="J95" s="4"/>
      <c r="K95" s="4"/>
      <c r="L95" s="4"/>
      <c r="M95" s="4"/>
      <c r="N95" s="5" t="s">
        <v>297</v>
      </c>
      <c r="O95" s="3" t="s">
        <v>282</v>
      </c>
    </row>
    <row r="96" customFormat="false" ht="15" hidden="false" customHeight="false" outlineLevel="0" collapsed="false">
      <c r="A96" s="3" t="n">
        <v>95</v>
      </c>
      <c r="B96" s="3" t="s">
        <v>298</v>
      </c>
      <c r="C96" s="3" t="s">
        <v>80</v>
      </c>
      <c r="D96" s="3" t="s">
        <v>296</v>
      </c>
      <c r="E96" s="3"/>
      <c r="F96" s="3" t="str">
        <f aca="false">IF(E96="","","https://"&amp;E96)</f>
        <v/>
      </c>
      <c r="G96" s="3" t="str">
        <f aca="false">IF(E96="","","https://www.google.com/s2/favicons?domain="&amp;E96&amp;"&amp;sz=128")</f>
        <v/>
      </c>
      <c r="H96" s="3" t="str">
        <f aca="false">"https://www.linkedin.com/search/results/companies/?keywords="&amp;SUBSTITUTE(B96," ","%20")</f>
        <v>https://www.linkedin.com/search/results/companies/?keywords=Omega%20Incorporations</v>
      </c>
      <c r="I96" s="3" t="str">
        <f aca="false">"https://www.linkedin.com/search/results/people/?keywords=HR%20recruiter%20"&amp;SUBSTITUTE(B96," ","%20")</f>
        <v>https://www.linkedin.com/search/results/people/?keywords=HR%20recruiter%20Omega%20Incorporations</v>
      </c>
      <c r="J96" s="4"/>
      <c r="K96" s="4"/>
      <c r="L96" s="4"/>
      <c r="M96" s="4"/>
      <c r="N96" s="5" t="s">
        <v>299</v>
      </c>
      <c r="O96" s="3" t="s">
        <v>282</v>
      </c>
    </row>
    <row r="97" customFormat="false" ht="15" hidden="false" customHeight="false" outlineLevel="0" collapsed="false">
      <c r="A97" s="3" t="n">
        <v>96</v>
      </c>
      <c r="B97" s="3" t="s">
        <v>300</v>
      </c>
      <c r="C97" s="3" t="s">
        <v>80</v>
      </c>
      <c r="D97" s="3" t="s">
        <v>301</v>
      </c>
      <c r="E97" s="3"/>
      <c r="F97" s="3" t="str">
        <f aca="false">IF(E97="","","https://"&amp;E97)</f>
        <v/>
      </c>
      <c r="G97" s="3" t="str">
        <f aca="false">IF(E97="","","https://www.google.com/s2/favicons?domain="&amp;E97&amp;"&amp;sz=128")</f>
        <v/>
      </c>
      <c r="H97" s="3" t="str">
        <f aca="false">"https://www.linkedin.com/search/results/companies/?keywords="&amp;SUBSTITUTE(B97," ","%20")</f>
        <v>https://www.linkedin.com/search/results/companies/?keywords=Nexalaris%20Tech</v>
      </c>
      <c r="I97" s="3" t="str">
        <f aca="false">"https://www.linkedin.com/search/results/people/?keywords=HR%20recruiter%20"&amp;SUBSTITUTE(B97," ","%20")</f>
        <v>https://www.linkedin.com/search/results/people/?keywords=HR%20recruiter%20Nexalaris%20Tech</v>
      </c>
      <c r="J97" s="4"/>
      <c r="K97" s="4"/>
      <c r="L97" s="4"/>
      <c r="M97" s="4"/>
      <c r="N97" s="5" t="s">
        <v>302</v>
      </c>
      <c r="O97" s="3" t="s">
        <v>282</v>
      </c>
    </row>
    <row r="98" customFormat="false" ht="15" hidden="false" customHeight="false" outlineLevel="0" collapsed="false">
      <c r="A98" s="3" t="n">
        <v>97</v>
      </c>
      <c r="B98" s="3" t="s">
        <v>303</v>
      </c>
      <c r="C98" s="3" t="s">
        <v>80</v>
      </c>
      <c r="D98" s="3" t="s">
        <v>301</v>
      </c>
      <c r="E98" s="3"/>
      <c r="F98" s="3" t="str">
        <f aca="false">IF(E98="","","https://"&amp;E98)</f>
        <v/>
      </c>
      <c r="G98" s="3" t="str">
        <f aca="false">IF(E98="","","https://www.google.com/s2/favicons?domain="&amp;E98&amp;"&amp;sz=128")</f>
        <v/>
      </c>
      <c r="H98" s="3" t="str">
        <f aca="false">"https://www.linkedin.com/search/results/companies/?keywords="&amp;SUBSTITUTE(B98," ","%20")</f>
        <v>https://www.linkedin.com/search/results/companies/?keywords=Artivtech</v>
      </c>
      <c r="I98" s="3" t="str">
        <f aca="false">"https://www.linkedin.com/search/results/people/?keywords=HR%20recruiter%20"&amp;SUBSTITUTE(B98," ","%20")</f>
        <v>https://www.linkedin.com/search/results/people/?keywords=HR%20recruiter%20Artivtech</v>
      </c>
      <c r="J98" s="4"/>
      <c r="K98" s="4"/>
      <c r="L98" s="4"/>
      <c r="M98" s="4"/>
      <c r="N98" s="5" t="s">
        <v>304</v>
      </c>
      <c r="O98" s="3" t="s">
        <v>282</v>
      </c>
    </row>
    <row r="99" customFormat="false" ht="15" hidden="false" customHeight="false" outlineLevel="0" collapsed="false">
      <c r="A99" s="3" t="n">
        <v>98</v>
      </c>
      <c r="B99" s="3" t="s">
        <v>305</v>
      </c>
      <c r="C99" s="3" t="s">
        <v>80</v>
      </c>
      <c r="D99" s="3" t="s">
        <v>301</v>
      </c>
      <c r="E99" s="3"/>
      <c r="F99" s="3" t="str">
        <f aca="false">IF(E99="","","https://"&amp;E99)</f>
        <v/>
      </c>
      <c r="G99" s="3" t="str">
        <f aca="false">IF(E99="","","https://www.google.com/s2/favicons?domain="&amp;E99&amp;"&amp;sz=128")</f>
        <v/>
      </c>
      <c r="H99" s="3" t="str">
        <f aca="false">"https://www.linkedin.com/search/results/companies/?keywords="&amp;SUBSTITUTE(B99," ","%20")</f>
        <v>https://www.linkedin.com/search/results/companies/?keywords=Web%20Experts%20Nepal</v>
      </c>
      <c r="I99" s="3" t="str">
        <f aca="false">"https://www.linkedin.com/search/results/people/?keywords=HR%20recruiter%20"&amp;SUBSTITUTE(B99," ","%20")</f>
        <v>https://www.linkedin.com/search/results/people/?keywords=HR%20recruiter%20Web%20Experts%20Nepal</v>
      </c>
      <c r="J99" s="4"/>
      <c r="K99" s="4"/>
      <c r="L99" s="4"/>
      <c r="M99" s="4"/>
      <c r="N99" s="5" t="s">
        <v>133</v>
      </c>
      <c r="O99" s="3" t="s">
        <v>282</v>
      </c>
    </row>
    <row r="100" customFormat="false" ht="15" hidden="false" customHeight="false" outlineLevel="0" collapsed="false">
      <c r="A100" s="3" t="n">
        <v>99</v>
      </c>
      <c r="B100" s="3" t="s">
        <v>306</v>
      </c>
      <c r="C100" s="3" t="s">
        <v>80</v>
      </c>
      <c r="D100" s="3" t="s">
        <v>301</v>
      </c>
      <c r="E100" s="3"/>
      <c r="F100" s="3" t="str">
        <f aca="false">IF(E100="","","https://"&amp;E100)</f>
        <v/>
      </c>
      <c r="G100" s="3" t="str">
        <f aca="false">IF(E100="","","https://www.google.com/s2/favicons?domain="&amp;E100&amp;"&amp;sz=128")</f>
        <v/>
      </c>
      <c r="H100" s="3" t="str">
        <f aca="false">"https://www.linkedin.com/search/results/companies/?keywords="&amp;SUBSTITUTE(B100," ","%20")</f>
        <v>https://www.linkedin.com/search/results/companies/?keywords=Spiralogics</v>
      </c>
      <c r="I100" s="3" t="str">
        <f aca="false">"https://www.linkedin.com/search/results/people/?keywords=HR%20recruiter%20"&amp;SUBSTITUTE(B100," ","%20")</f>
        <v>https://www.linkedin.com/search/results/people/?keywords=HR%20recruiter%20Spiralogics</v>
      </c>
      <c r="J100" s="4"/>
      <c r="K100" s="4"/>
      <c r="L100" s="4"/>
      <c r="M100" s="4"/>
      <c r="N100" s="5" t="s">
        <v>307</v>
      </c>
      <c r="O100" s="3" t="s">
        <v>282</v>
      </c>
    </row>
    <row r="101" customFormat="false" ht="15" hidden="false" customHeight="false" outlineLevel="0" collapsed="false">
      <c r="A101" s="3" t="n">
        <v>100</v>
      </c>
      <c r="B101" s="3" t="s">
        <v>308</v>
      </c>
      <c r="C101" s="3" t="s">
        <v>80</v>
      </c>
      <c r="D101" s="3" t="s">
        <v>301</v>
      </c>
      <c r="E101" s="3"/>
      <c r="F101" s="3" t="str">
        <f aca="false">IF(E101="","","https://"&amp;E101)</f>
        <v/>
      </c>
      <c r="G101" s="3" t="str">
        <f aca="false">IF(E101="","","https://www.google.com/s2/favicons?domain="&amp;E101&amp;"&amp;sz=128")</f>
        <v/>
      </c>
      <c r="H101" s="3" t="str">
        <f aca="false">"https://www.linkedin.com/search/results/companies/?keywords="&amp;SUBSTITUTE(B101," ","%20")</f>
        <v>https://www.linkedin.com/search/results/companies/?keywords=Rara%20Labs</v>
      </c>
      <c r="I101" s="3" t="str">
        <f aca="false">"https://www.linkedin.com/search/results/people/?keywords=HR%20recruiter%20"&amp;SUBSTITUTE(B101," ","%20")</f>
        <v>https://www.linkedin.com/search/results/people/?keywords=HR%20recruiter%20Rara%20Labs</v>
      </c>
      <c r="J101" s="4"/>
      <c r="K101" s="4"/>
      <c r="L101" s="4"/>
      <c r="M101" s="4"/>
      <c r="N101" s="5" t="s">
        <v>307</v>
      </c>
      <c r="O101" s="3" t="s">
        <v>282</v>
      </c>
    </row>
    <row r="102" customFormat="false" ht="15" hidden="false" customHeight="false" outlineLevel="0" collapsed="false">
      <c r="A102" s="3" t="n">
        <v>101</v>
      </c>
      <c r="B102" s="3" t="s">
        <v>309</v>
      </c>
      <c r="C102" s="3" t="s">
        <v>80</v>
      </c>
      <c r="D102" s="3" t="s">
        <v>301</v>
      </c>
      <c r="E102" s="3"/>
      <c r="F102" s="3" t="str">
        <f aca="false">IF(E102="","","https://"&amp;E102)</f>
        <v/>
      </c>
      <c r="G102" s="3" t="str">
        <f aca="false">IF(E102="","","https://www.google.com/s2/favicons?domain="&amp;E102&amp;"&amp;sz=128")</f>
        <v/>
      </c>
      <c r="H102" s="3" t="str">
        <f aca="false">"https://www.linkedin.com/search/results/companies/?keywords="&amp;SUBSTITUTE(B102," ","%20")</f>
        <v>https://www.linkedin.com/search/results/companies/?keywords=Progressive%20Labs</v>
      </c>
      <c r="I102" s="3" t="str">
        <f aca="false">"https://www.linkedin.com/search/results/people/?keywords=HR%20recruiter%20"&amp;SUBSTITUTE(B102," ","%20")</f>
        <v>https://www.linkedin.com/search/results/people/?keywords=HR%20recruiter%20Progressive%20Labs</v>
      </c>
      <c r="J102" s="4"/>
      <c r="K102" s="4"/>
      <c r="L102" s="4"/>
      <c r="M102" s="4"/>
      <c r="N102" s="5" t="s">
        <v>310</v>
      </c>
      <c r="O102" s="3" t="s">
        <v>282</v>
      </c>
    </row>
    <row r="103" customFormat="false" ht="15" hidden="false" customHeight="false" outlineLevel="0" collapsed="false">
      <c r="A103" s="3" t="n">
        <v>102</v>
      </c>
      <c r="B103" s="3" t="s">
        <v>311</v>
      </c>
      <c r="C103" s="3" t="s">
        <v>80</v>
      </c>
      <c r="D103" s="3" t="s">
        <v>301</v>
      </c>
      <c r="E103" s="3"/>
      <c r="F103" s="3" t="str">
        <f aca="false">IF(E103="","","https://"&amp;E103)</f>
        <v/>
      </c>
      <c r="G103" s="3" t="str">
        <f aca="false">IF(E103="","","https://www.google.com/s2/favicons?domain="&amp;E103&amp;"&amp;sz=128")</f>
        <v/>
      </c>
      <c r="H103" s="3" t="str">
        <f aca="false">"https://www.linkedin.com/search/results/companies/?keywords="&amp;SUBSTITUTE(B103," ","%20")</f>
        <v>https://www.linkedin.com/search/results/companies/?keywords=Susankya%20Global</v>
      </c>
      <c r="I103" s="3" t="str">
        <f aca="false">"https://www.linkedin.com/search/results/people/?keywords=HR%20recruiter%20"&amp;SUBSTITUTE(B103," ","%20")</f>
        <v>https://www.linkedin.com/search/results/people/?keywords=HR%20recruiter%20Susankya%20Global</v>
      </c>
      <c r="J103" s="4"/>
      <c r="K103" s="4"/>
      <c r="L103" s="4"/>
      <c r="M103" s="4"/>
      <c r="N103" s="5" t="s">
        <v>307</v>
      </c>
      <c r="O103" s="3" t="s">
        <v>282</v>
      </c>
    </row>
    <row r="104" customFormat="false" ht="15" hidden="false" customHeight="false" outlineLevel="0" collapsed="false">
      <c r="A104" s="3" t="n">
        <v>103</v>
      </c>
      <c r="B104" s="3" t="s">
        <v>312</v>
      </c>
      <c r="C104" s="3" t="s">
        <v>80</v>
      </c>
      <c r="D104" s="3" t="s">
        <v>301</v>
      </c>
      <c r="E104" s="3"/>
      <c r="F104" s="3" t="str">
        <f aca="false">IF(E104="","","https://"&amp;E104)</f>
        <v/>
      </c>
      <c r="G104" s="3" t="str">
        <f aca="false">IF(E104="","","https://www.google.com/s2/favicons?domain="&amp;E104&amp;"&amp;sz=128")</f>
        <v/>
      </c>
      <c r="H104" s="3" t="str">
        <f aca="false">"https://www.linkedin.com/search/results/companies/?keywords="&amp;SUBSTITUTE(B104," ","%20")</f>
        <v>https://www.linkedin.com/search/results/companies/?keywords=Makura%20Creations</v>
      </c>
      <c r="I104" s="3" t="str">
        <f aca="false">"https://www.linkedin.com/search/results/people/?keywords=HR%20recruiter%20"&amp;SUBSTITUTE(B104," ","%20")</f>
        <v>https://www.linkedin.com/search/results/people/?keywords=HR%20recruiter%20Makura%20Creations</v>
      </c>
      <c r="J104" s="4"/>
      <c r="K104" s="4"/>
      <c r="L104" s="4"/>
      <c r="M104" s="4"/>
      <c r="N104" s="5" t="s">
        <v>313</v>
      </c>
      <c r="O104" s="3" t="s">
        <v>282</v>
      </c>
    </row>
    <row r="105" customFormat="false" ht="15" hidden="false" customHeight="false" outlineLevel="0" collapsed="false">
      <c r="A105" s="3" t="n">
        <v>104</v>
      </c>
      <c r="B105" s="3" t="s">
        <v>314</v>
      </c>
      <c r="C105" s="3" t="s">
        <v>80</v>
      </c>
      <c r="D105" s="3" t="s">
        <v>301</v>
      </c>
      <c r="E105" s="3"/>
      <c r="F105" s="3" t="str">
        <f aca="false">IF(E105="","","https://"&amp;E105)</f>
        <v/>
      </c>
      <c r="G105" s="3" t="str">
        <f aca="false">IF(E105="","","https://www.google.com/s2/favicons?domain="&amp;E105&amp;"&amp;sz=128")</f>
        <v/>
      </c>
      <c r="H105" s="3" t="str">
        <f aca="false">"https://www.linkedin.com/search/results/companies/?keywords="&amp;SUBSTITUTE(B105," ","%20")</f>
        <v>https://www.linkedin.com/search/results/companies/?keywords=Milo%20Logic</v>
      </c>
      <c r="I105" s="3" t="str">
        <f aca="false">"https://www.linkedin.com/search/results/people/?keywords=HR%20recruiter%20"&amp;SUBSTITUTE(B105," ","%20")</f>
        <v>https://www.linkedin.com/search/results/people/?keywords=HR%20recruiter%20Milo%20Logic</v>
      </c>
      <c r="J105" s="4"/>
      <c r="K105" s="4"/>
      <c r="L105" s="4"/>
      <c r="M105" s="4"/>
      <c r="N105" s="5" t="s">
        <v>307</v>
      </c>
      <c r="O105" s="3" t="s">
        <v>282</v>
      </c>
    </row>
    <row r="106" customFormat="false" ht="23.85" hidden="false" customHeight="false" outlineLevel="0" collapsed="false">
      <c r="A106" s="3" t="n">
        <v>105</v>
      </c>
      <c r="B106" s="3" t="s">
        <v>315</v>
      </c>
      <c r="C106" s="3" t="s">
        <v>80</v>
      </c>
      <c r="D106" s="3" t="s">
        <v>301</v>
      </c>
      <c r="E106" s="3"/>
      <c r="F106" s="3" t="str">
        <f aca="false">IF(E106="","","https://"&amp;E106)</f>
        <v/>
      </c>
      <c r="G106" s="3" t="str">
        <f aca="false">IF(E106="","","https://www.google.com/s2/favicons?domain="&amp;E106&amp;"&amp;sz=128")</f>
        <v/>
      </c>
      <c r="H106" s="3" t="str">
        <f aca="false">"https://www.linkedin.com/search/results/companies/?keywords="&amp;SUBSTITUTE(B106," ","%20")</f>
        <v>https://www.linkedin.com/search/results/companies/?keywords=LIS%20Nepal</v>
      </c>
      <c r="I106" s="3" t="str">
        <f aca="false">"https://www.linkedin.com/search/results/people/?keywords=HR%20recruiter%20"&amp;SUBSTITUTE(B106," ","%20")</f>
        <v>https://www.linkedin.com/search/results/people/?keywords=HR%20recruiter%20LIS%20Nepal</v>
      </c>
      <c r="J106" s="4"/>
      <c r="K106" s="4"/>
      <c r="L106" s="4"/>
      <c r="M106" s="4"/>
      <c r="N106" s="5" t="s">
        <v>316</v>
      </c>
      <c r="O106" s="3" t="s">
        <v>282</v>
      </c>
    </row>
    <row r="107" customFormat="false" ht="15" hidden="false" customHeight="false" outlineLevel="0" collapsed="false">
      <c r="A107" s="3" t="n">
        <v>106</v>
      </c>
      <c r="B107" s="3" t="s">
        <v>317</v>
      </c>
      <c r="C107" s="3" t="s">
        <v>80</v>
      </c>
      <c r="D107" s="3" t="s">
        <v>301</v>
      </c>
      <c r="E107" s="3"/>
      <c r="F107" s="3" t="str">
        <f aca="false">IF(E107="","","https://"&amp;E107)</f>
        <v/>
      </c>
      <c r="G107" s="3" t="str">
        <f aca="false">IF(E107="","","https://www.google.com/s2/favicons?domain="&amp;E107&amp;"&amp;sz=128")</f>
        <v/>
      </c>
      <c r="H107" s="3" t="str">
        <f aca="false">"https://www.linkedin.com/search/results/companies/?keywords="&amp;SUBSTITUTE(B107," ","%20")</f>
        <v>https://www.linkedin.com/search/results/companies/?keywords=Searce%20Nepal%20(Searhold%20Technologies)</v>
      </c>
      <c r="I107" s="3" t="str">
        <f aca="false">"https://www.linkedin.com/search/results/people/?keywords=HR%20recruiter%20"&amp;SUBSTITUTE(B107," ","%20")</f>
        <v>https://www.linkedin.com/search/results/people/?keywords=HR%20recruiter%20Searce%20Nepal%20(Searhold%20Technologies)</v>
      </c>
      <c r="J107" s="4"/>
      <c r="K107" s="4"/>
      <c r="L107" s="4"/>
      <c r="M107" s="4"/>
      <c r="N107" s="5" t="s">
        <v>318</v>
      </c>
      <c r="O107" s="3" t="s">
        <v>282</v>
      </c>
    </row>
    <row r="108" customFormat="false" ht="15" hidden="false" customHeight="false" outlineLevel="0" collapsed="false">
      <c r="A108" s="3" t="n">
        <v>107</v>
      </c>
      <c r="B108" s="3" t="s">
        <v>319</v>
      </c>
      <c r="C108" s="3" t="s">
        <v>80</v>
      </c>
      <c r="D108" s="3" t="s">
        <v>301</v>
      </c>
      <c r="E108" s="3"/>
      <c r="F108" s="3" t="str">
        <f aca="false">IF(E108="","","https://"&amp;E108)</f>
        <v/>
      </c>
      <c r="G108" s="3" t="str">
        <f aca="false">IF(E108="","","https://www.google.com/s2/favicons?domain="&amp;E108&amp;"&amp;sz=128")</f>
        <v/>
      </c>
      <c r="H108" s="3" t="str">
        <f aca="false">"https://www.linkedin.com/search/results/companies/?keywords="&amp;SUBSTITUTE(B108," ","%20")</f>
        <v>https://www.linkedin.com/search/results/companies/?keywords=Outcode%20Technologies</v>
      </c>
      <c r="I108" s="3" t="str">
        <f aca="false">"https://www.linkedin.com/search/results/people/?keywords=HR%20recruiter%20"&amp;SUBSTITUTE(B108," ","%20")</f>
        <v>https://www.linkedin.com/search/results/people/?keywords=HR%20recruiter%20Outcode%20Technologies</v>
      </c>
      <c r="J108" s="4"/>
      <c r="K108" s="4"/>
      <c r="L108" s="4"/>
      <c r="M108" s="4"/>
      <c r="N108" s="5" t="s">
        <v>320</v>
      </c>
      <c r="O108" s="3" t="s">
        <v>282</v>
      </c>
    </row>
    <row r="109" customFormat="false" ht="15" hidden="false" customHeight="false" outlineLevel="0" collapsed="false">
      <c r="A109" s="3" t="n">
        <v>108</v>
      </c>
      <c r="B109" s="3" t="s">
        <v>321</v>
      </c>
      <c r="C109" s="3" t="s">
        <v>80</v>
      </c>
      <c r="D109" s="3" t="s">
        <v>301</v>
      </c>
      <c r="E109" s="3"/>
      <c r="F109" s="3" t="str">
        <f aca="false">IF(E109="","","https://"&amp;E109)</f>
        <v/>
      </c>
      <c r="G109" s="3" t="str">
        <f aca="false">IF(E109="","","https://www.google.com/s2/favicons?domain="&amp;E109&amp;"&amp;sz=128")</f>
        <v/>
      </c>
      <c r="H109" s="3" t="str">
        <f aca="false">"https://www.linkedin.com/search/results/companies/?keywords="&amp;SUBSTITUTE(B109," ","%20")</f>
        <v>https://www.linkedin.com/search/results/companies/?keywords=TechCraft</v>
      </c>
      <c r="I109" s="3" t="str">
        <f aca="false">"https://www.linkedin.com/search/results/people/?keywords=HR%20recruiter%20"&amp;SUBSTITUTE(B109," ","%20")</f>
        <v>https://www.linkedin.com/search/results/people/?keywords=HR%20recruiter%20TechCraft</v>
      </c>
      <c r="J109" s="4"/>
      <c r="K109" s="4"/>
      <c r="L109" s="4"/>
      <c r="M109" s="4"/>
      <c r="N109" s="5" t="s">
        <v>322</v>
      </c>
      <c r="O109" s="3" t="s">
        <v>282</v>
      </c>
    </row>
    <row r="110" customFormat="false" ht="15" hidden="false" customHeight="false" outlineLevel="0" collapsed="false">
      <c r="A110" s="3" t="n">
        <v>109</v>
      </c>
      <c r="B110" s="3" t="s">
        <v>323</v>
      </c>
      <c r="C110" s="3" t="s">
        <v>80</v>
      </c>
      <c r="D110" s="3" t="s">
        <v>25</v>
      </c>
      <c r="E110" s="3"/>
      <c r="F110" s="3" t="str">
        <f aca="false">IF(E110="","","https://"&amp;E110)</f>
        <v/>
      </c>
      <c r="G110" s="3" t="str">
        <f aca="false">IF(E110="","","https://www.google.com/s2/favicons?domain="&amp;E110&amp;"&amp;sz=128")</f>
        <v/>
      </c>
      <c r="H110" s="3" t="str">
        <f aca="false">"https://www.linkedin.com/search/results/companies/?keywords="&amp;SUBSTITUTE(B110," ","%20")</f>
        <v>https://www.linkedin.com/search/results/companies/?keywords=Web%20House%20Nepal</v>
      </c>
      <c r="I110" s="3" t="str">
        <f aca="false">"https://www.linkedin.com/search/results/people/?keywords=HR%20recruiter%20"&amp;SUBSTITUTE(B110," ","%20")</f>
        <v>https://www.linkedin.com/search/results/people/?keywords=HR%20recruiter%20Web%20House%20Nepal</v>
      </c>
      <c r="J110" s="4"/>
      <c r="K110" s="4"/>
      <c r="L110" s="4"/>
      <c r="M110" s="4"/>
      <c r="N110" s="5" t="s">
        <v>324</v>
      </c>
      <c r="O110" s="3" t="s">
        <v>282</v>
      </c>
    </row>
    <row r="111" customFormat="false" ht="15" hidden="false" customHeight="false" outlineLevel="0" collapsed="false">
      <c r="A111" s="3" t="n">
        <v>110</v>
      </c>
      <c r="B111" s="3" t="s">
        <v>325</v>
      </c>
      <c r="C111" s="3" t="s">
        <v>144</v>
      </c>
      <c r="D111" s="3" t="s">
        <v>25</v>
      </c>
      <c r="E111" s="3"/>
      <c r="F111" s="3" t="str">
        <f aca="false">IF(E111="","","https://"&amp;E111)</f>
        <v/>
      </c>
      <c r="G111" s="3" t="str">
        <f aca="false">IF(E111="","","https://www.google.com/s2/favicons?domain="&amp;E111&amp;"&amp;sz=128")</f>
        <v/>
      </c>
      <c r="H111" s="3" t="str">
        <f aca="false">"https://www.linkedin.com/search/results/companies/?keywords="&amp;SUBSTITUTE(B111," ","%20")</f>
        <v>https://www.linkedin.com/search/results/companies/?keywords=Web%20Server%20Nepal</v>
      </c>
      <c r="I111" s="3" t="str">
        <f aca="false">"https://www.linkedin.com/search/results/people/?keywords=HR%20recruiter%20"&amp;SUBSTITUTE(B111," ","%20")</f>
        <v>https://www.linkedin.com/search/results/people/?keywords=HR%20recruiter%20Web%20Server%20Nepal</v>
      </c>
      <c r="J111" s="4"/>
      <c r="K111" s="4"/>
      <c r="L111" s="4"/>
      <c r="M111" s="4"/>
      <c r="N111" s="5" t="s">
        <v>326</v>
      </c>
      <c r="O111" s="3" t="s">
        <v>282</v>
      </c>
    </row>
    <row r="112" customFormat="false" ht="15" hidden="false" customHeight="false" outlineLevel="0" collapsed="false">
      <c r="A112" s="3" t="n">
        <v>111</v>
      </c>
      <c r="B112" s="3" t="s">
        <v>327</v>
      </c>
      <c r="C112" s="3" t="s">
        <v>80</v>
      </c>
      <c r="D112" s="3" t="s">
        <v>25</v>
      </c>
      <c r="E112" s="3"/>
      <c r="F112" s="3" t="str">
        <f aca="false">IF(E112="","","https://"&amp;E112)</f>
        <v/>
      </c>
      <c r="G112" s="3" t="str">
        <f aca="false">IF(E112="","","https://www.google.com/s2/favicons?domain="&amp;E112&amp;"&amp;sz=128")</f>
        <v/>
      </c>
      <c r="H112" s="3" t="str">
        <f aca="false">"https://www.linkedin.com/search/results/companies/?keywords="&amp;SUBSTITUTE(B112," ","%20")</f>
        <v>https://www.linkedin.com/search/results/companies/?keywords=Antbytelabs</v>
      </c>
      <c r="I112" s="3" t="str">
        <f aca="false">"https://www.linkedin.com/search/results/people/?keywords=HR%20recruiter%20"&amp;SUBSTITUTE(B112," ","%20")</f>
        <v>https://www.linkedin.com/search/results/people/?keywords=HR%20recruiter%20Antbytelabs</v>
      </c>
      <c r="J112" s="4"/>
      <c r="K112" s="4"/>
      <c r="L112" s="4"/>
      <c r="M112" s="4"/>
      <c r="N112" s="5" t="s">
        <v>328</v>
      </c>
      <c r="O112" s="3" t="s">
        <v>282</v>
      </c>
    </row>
  </sheetData>
  <autoFilter ref="A1:O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6" t="s">
        <v>329</v>
      </c>
    </row>
    <row r="2" customFormat="false" ht="15" hidden="false" customHeight="false" outlineLevel="0" collapsed="false">
      <c r="A2" s="0" t="s">
        <v>330</v>
      </c>
    </row>
    <row r="3" customFormat="false" ht="15" hidden="false" customHeight="false" outlineLevel="0" collapsed="false">
      <c r="A3" s="0" t="s">
        <v>331</v>
      </c>
    </row>
    <row r="4" customFormat="false" ht="15" hidden="false" customHeight="false" outlineLevel="0" collapsed="false">
      <c r="A4" s="0" t="s">
        <v>332</v>
      </c>
    </row>
    <row r="5" customFormat="false" ht="15" hidden="false" customHeight="false" outlineLevel="0" collapsed="false">
      <c r="A5" s="0" t="s">
        <v>333</v>
      </c>
    </row>
    <row r="6" customFormat="false" ht="15" hidden="false" customHeight="false" outlineLevel="0" collapsed="false">
      <c r="A6" s="0" t="s">
        <v>334</v>
      </c>
    </row>
    <row r="7" customFormat="false" ht="15" hidden="false" customHeight="false" outlineLevel="0" collapsed="false">
      <c r="A7" s="0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2026-10-02T08:50:58Z</dcterms:created>
  <dc:creator>openpyxl</dc:creator>
  <dc:description/>
  <dc:language>en-US</dc:language>
  <cp:lastModifiedBy/>
  <dcterms:modified xsi:type="dcterms:W3CDTF">2026-10-02T08:50:58Z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